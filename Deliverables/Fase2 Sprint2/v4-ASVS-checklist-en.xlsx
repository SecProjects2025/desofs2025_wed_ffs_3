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Diana\Documents\github\desofs2025_wed_ffs_3\Deliverables\Fase2 Sprint2\"/>
    </mc:Choice>
  </mc:AlternateContent>
  <xr:revisionPtr revIDLastSave="0" documentId="8_{23AD028D-FF36-4501-BEAD-2E72F1D5D5C8}" xr6:coauthVersionLast="47" xr6:coauthVersionMax="47" xr10:uidLastSave="{00000000-0000-0000-0000-000000000000}"/>
  <bookViews>
    <workbookView xWindow="-110" yWindow="-110" windowWidth="25820" windowHeight="15500" tabRatio="885" activeTab="7" xr2:uid="{00000000-000D-0000-FFFF-FFFF00000000}"/>
  </bookViews>
  <sheets>
    <sheet name="ASVS Results" sheetId="1" r:id="rId1"/>
    <sheet name="Architecture, Design and Threat" sheetId="2" r:id="rId2"/>
    <sheet name="Authentication" sheetId="3" r:id="rId3"/>
    <sheet name="Session Management" sheetId="4" r:id="rId4"/>
    <sheet name="Access Control" sheetId="5" r:id="rId5"/>
    <sheet name="Validation, Sanitization and En" sheetId="6" r:id="rId6"/>
    <sheet name="Error Handling and Logging" sheetId="8" r:id="rId7"/>
    <sheet name="Stored Cryptography" sheetId="7" r:id="rId8"/>
    <sheet name="Communication" sheetId="10" r:id="rId9"/>
    <sheet name="Data Protection" sheetId="9" r:id="rId10"/>
    <sheet name="Configuration" sheetId="15" r:id="rId11"/>
    <sheet name="API and Web Service" sheetId="14" r:id="rId12"/>
    <sheet name="Malicious Code" sheetId="11" r:id="rId13"/>
    <sheet name="Business Logic" sheetId="12" r:id="rId14"/>
    <sheet name="Files and Resources" sheetId="13" r:id="rId15"/>
    <sheet name="Folha3" sheetId="17" r:id="rId16"/>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6" i="1" l="1"/>
  <c r="B5" i="1"/>
  <c r="C15" i="1"/>
  <c r="B15" i="1"/>
  <c r="C14" i="1"/>
  <c r="B14" i="1"/>
  <c r="C13" i="1"/>
  <c r="B13" i="1"/>
  <c r="D13" i="1" s="1"/>
  <c r="C12" i="1"/>
  <c r="B12" i="1"/>
  <c r="D12" i="1" s="1"/>
  <c r="C11" i="1"/>
  <c r="B11" i="1"/>
  <c r="D11" i="1" s="1"/>
  <c r="C10" i="1"/>
  <c r="B10" i="1"/>
  <c r="C9" i="1"/>
  <c r="B9" i="1"/>
  <c r="C8" i="1"/>
  <c r="B8" i="1"/>
  <c r="D8" i="1" s="1"/>
  <c r="C7" i="1"/>
  <c r="B7" i="1"/>
  <c r="B6" i="1"/>
  <c r="C5" i="1"/>
  <c r="C4" i="1"/>
  <c r="B4" i="1"/>
  <c r="D4" i="1" s="1"/>
  <c r="C3" i="1"/>
  <c r="B3" i="1"/>
  <c r="C2" i="1"/>
  <c r="B2" i="1"/>
  <c r="D5" i="1" l="1"/>
  <c r="D6" i="1"/>
  <c r="D9" i="1"/>
  <c r="D7" i="1"/>
  <c r="D3" i="1"/>
  <c r="D14" i="1"/>
  <c r="D15" i="1"/>
  <c r="C16" i="1"/>
  <c r="D10" i="1"/>
  <c r="B16" i="1"/>
  <c r="D2" i="1"/>
  <c r="D16" i="1" l="1"/>
</calcChain>
</file>

<file path=xl/sharedStrings.xml><?xml version="1.0" encoding="utf-8"?>
<sst xmlns="http://schemas.openxmlformats.org/spreadsheetml/2006/main" count="1797" uniqueCount="1287">
  <si>
    <t>Security Category</t>
  </si>
  <si>
    <t>Valid criteria</t>
  </si>
  <si>
    <t>Total criteria</t>
  </si>
  <si>
    <t>Validity Percentage</t>
  </si>
  <si>
    <t>ASVS Level Acquired</t>
  </si>
  <si>
    <t>Architecture, Design and Threat Modeling</t>
  </si>
  <si>
    <t>Diana</t>
  </si>
  <si>
    <t>Authentication</t>
  </si>
  <si>
    <t>Session Management</t>
  </si>
  <si>
    <t>Pedro C</t>
  </si>
  <si>
    <t>Access Control</t>
  </si>
  <si>
    <t>Validation, Sanitization and Encoding</t>
  </si>
  <si>
    <t>Stored Cryptography</t>
  </si>
  <si>
    <t>Error Handling and Logging</t>
  </si>
  <si>
    <t>Diogo</t>
  </si>
  <si>
    <t>Data Protection</t>
  </si>
  <si>
    <t>Communication</t>
  </si>
  <si>
    <t>Malicious Code</t>
  </si>
  <si>
    <t>Pedro V</t>
  </si>
  <si>
    <t>Business Logic</t>
  </si>
  <si>
    <t>Files and Resources</t>
  </si>
  <si>
    <t>API and Web Service</t>
  </si>
  <si>
    <t>Configuration</t>
  </si>
  <si>
    <t>Total</t>
  </si>
  <si>
    <t>Area</t>
  </si>
  <si>
    <t>#</t>
  </si>
  <si>
    <t>ASVS Level</t>
  </si>
  <si>
    <t>CWE</t>
  </si>
  <si>
    <t>NIST</t>
  </si>
  <si>
    <t>Verification Requirement</t>
  </si>
  <si>
    <t>Valid</t>
  </si>
  <si>
    <t>Source Code Reference</t>
  </si>
  <si>
    <t>Comment</t>
  </si>
  <si>
    <t>Tool Used</t>
  </si>
  <si>
    <t xml:space="preserve">Secure Software Development Lifecycle </t>
  </si>
  <si>
    <t>1.1.1</t>
  </si>
  <si>
    <t>Verify the use of a secure software development lifecycle that addresses security in all stages of development. ([C1](https://owasp.org/www-project-proactive-controls/#div-numbering))</t>
  </si>
  <si>
    <t>1.1.2</t>
  </si>
  <si>
    <t>Verify the use of threat modeling for every design change or sprint planning to identify threats, plan for countermeasures, facilitate appropriate risk responses, and guide security testing.</t>
  </si>
  <si>
    <t>1.1.3</t>
  </si>
  <si>
    <t>Verify that all user stories and features contain functional security constraints, such as "As a user, I should be able to view and edit my profile. I should not be able to view or edit anyone else's profile"</t>
  </si>
  <si>
    <t>1.1.4</t>
  </si>
  <si>
    <t>Verify documentation and justification of all the application's trust boundaries, components, and significant data flows.</t>
  </si>
  <si>
    <t>1.1.5</t>
  </si>
  <si>
    <t>Verify definition and security analysis of the application's high-level architecture and all connected remote services. ([C1](https://owasp.org/www-project-proactive-controls/#div-numbering))</t>
  </si>
  <si>
    <t>1.1.6</t>
  </si>
  <si>
    <t>Verify implementation of centralized, simple (economy of design), vetted, secure, and reusable security controls to avoid duplicate, missing, ineffective, or insecure controls. ([C10](https://owasp.org/www-project-proactive-controls/#div-numbering))</t>
  </si>
  <si>
    <t>1.1.7</t>
  </si>
  <si>
    <t>Verify availability of a secure coding checklist, security requirements, guideline, or policy to all developers and testers.</t>
  </si>
  <si>
    <t>Authentication Architecture</t>
  </si>
  <si>
    <t>1.2.1</t>
  </si>
  <si>
    <t>Verify the use of unique or special low-privilege operating system accounts for all application components, services, and servers. ([C3](https://owasp.org/www-project-proactive-controls/#div-numbering))</t>
  </si>
  <si>
    <t>1.2.2</t>
  </si>
  <si>
    <t>Verify that communications between application components, including APIs, middleware and data layers, are authenticated. Components should have the least necessary privileges needed. ([C3](https://owasp.org/www-project-proactive-controls/#div-numbering))</t>
  </si>
  <si>
    <t>1.2.3</t>
  </si>
  <si>
    <t>Verify that the application uses a single vetted authentication mechanism that is known to be secure, can be extended to include strong authentication, and has sufficient logging and monitoring to detect account abuse or breaches.</t>
  </si>
  <si>
    <t>1.2.4</t>
  </si>
  <si>
    <t>Verify that all authentication pathways and identity management APIs implement consistent authentication security control strength, such that there are no weaker alternatives per the risk of the application.</t>
  </si>
  <si>
    <t>Session Management Architecture</t>
  </si>
  <si>
    <t>This is a placeholder for future architectural requirements.</t>
  </si>
  <si>
    <t>Not Applicable</t>
  </si>
  <si>
    <t xml:space="preserve">Access Control Architecture </t>
  </si>
  <si>
    <t>1.4.1</t>
  </si>
  <si>
    <t>Verify that trusted enforcement points such as at access control gateways, servers, and serverless functions enforce access controls. Never enforce access controls on the client.</t>
  </si>
  <si>
    <t>1.4.2</t>
  </si>
  <si>
    <t xml:space="preserve">[DELETED, NOT ACTIONABLE] </t>
  </si>
  <si>
    <t>1.4.3</t>
  </si>
  <si>
    <t xml:space="preserve">[DELETED, DUPLICATE OF 4.1.3] </t>
  </si>
  <si>
    <t>1.4.4</t>
  </si>
  <si>
    <t>Verify the application uses a single and well-vetted access control mechanism for accessing protected data and resources. All requests must pass through this single mechanism to avoid copy and paste or insecure alternative paths. ([C7](https://owasp.org/www-project-proactive-controls/#div-numbering))</t>
  </si>
  <si>
    <t>1.4.5</t>
  </si>
  <si>
    <t>Verify that attribute or feature-based access control is used whereby the code checks the user's authorization for a feature/data item rather than just their role. Permissions should still be allocated using roles. ([C7](https://owasp.org/www-project-proactive-controls/#div-numbering))</t>
  </si>
  <si>
    <t xml:space="preserve">Input and Output Architecture </t>
  </si>
  <si>
    <t>1.5.1</t>
  </si>
  <si>
    <t>Verify that input and output requirements clearly define how to handle and process data based on type, content, and applicable laws, regulations, and other policy compliance.</t>
  </si>
  <si>
    <t>1.5.2</t>
  </si>
  <si>
    <t>Verify that serialization is not used when communicating with untrusted clients. If this is not possible, ensure that adequate integrity controls (and possibly encryption if sensitive data is sent) are enforced to prevent deserialization attacks including object injection.</t>
  </si>
  <si>
    <t>1.5.3</t>
  </si>
  <si>
    <t>Verify that input validation is enforced on a trusted service layer. ([C5](https://owasp.org/www-project-proactive-controls/#div-numbering))</t>
  </si>
  <si>
    <t>1.5.4</t>
  </si>
  <si>
    <t>Verify that output encoding occurs close to or by the interpreter for which it is intended. ([C4](https://www.owasp.org/index.php/OWASP_Proactive_Controls#tab=Formal_Numbering))</t>
  </si>
  <si>
    <t>Cryptographic Architecture</t>
  </si>
  <si>
    <t>1.6.1</t>
  </si>
  <si>
    <t>Verify that there is an explicit policy for management of cryptographic keys and that a cryptographic key lifecycle follows a key management standard such as NIST SP 800-57.</t>
  </si>
  <si>
    <t>1.6.2</t>
  </si>
  <si>
    <t>Verify that consumers of cryptographic services protect key material and other secrets by using key vaults or API based alternatives.</t>
  </si>
  <si>
    <t>1.6.3</t>
  </si>
  <si>
    <t>Verify that all keys and passwords are replaceable and are part of a well-defined process to re-encrypt sensitive data.</t>
  </si>
  <si>
    <t>1.6.4</t>
  </si>
  <si>
    <t>Verify that the architecture treats client-side secrets--such as symmetric keys, passwords, or API tokens--as insecure and never uses them to protect or access sensitive data.</t>
  </si>
  <si>
    <t>Error, Logging and Auditing Architecture</t>
  </si>
  <si>
    <t>1.7.1</t>
  </si>
  <si>
    <t>Verify that a common logging format and approach is used across the system. ([C9](https://owasp.org/www-project-proactive-controls/#div-numbering))</t>
  </si>
  <si>
    <t>1.7.2</t>
  </si>
  <si>
    <t>Verify that logs are securely transmitted to a preferably remote system for analysis, detection, alerting, and escalation. ([C9](https://owasp.org/www-project-proactive-controls/#div-numbering))</t>
  </si>
  <si>
    <t>Data Protection and Privacy Architecture</t>
  </si>
  <si>
    <t>1.8.1</t>
  </si>
  <si>
    <t>Verify that all sensitive data is identified and classified into protection levels.</t>
  </si>
  <si>
    <t>1.8.2</t>
  </si>
  <si>
    <t>Verify that all protection levels have an associated set of protection requirements, such as encryption requirements, integrity requirements, retention, privacy and other confidentiality requirements, and that these are applied in the architecture.</t>
  </si>
  <si>
    <t>Communications Architecture</t>
  </si>
  <si>
    <t>1.9.1</t>
  </si>
  <si>
    <t>Verify the application encrypts communications between components, particularly when these components are in different containers, systems, sites, or cloud providers. ([C3](https://owasp.org/www-project-proactive-controls/#div-numbering))</t>
  </si>
  <si>
    <t>1.9.2</t>
  </si>
  <si>
    <t>Verify that application components verify the authenticity of each side in a communication link to prevent person-in-the-middle attacks. For example, application components should validate TLS certificates and chains.</t>
  </si>
  <si>
    <t>Malicious Software Architecture</t>
  </si>
  <si>
    <t>1.10.1</t>
  </si>
  <si>
    <t>Verify that a source code control system is in use, with procedures to ensure that check-ins are accompanied by issues or change tickets. The source code control system should have access control and identifiable users to allow traceability of any changes.</t>
  </si>
  <si>
    <t>Business Logic Architecture</t>
  </si>
  <si>
    <t>1.11.1</t>
  </si>
  <si>
    <t>Verify the definition and documentation of all application components in terms of the business or security functions they provide.</t>
  </si>
  <si>
    <t>1.11.2</t>
  </si>
  <si>
    <t>Verify that all high-value business logic flows, including authentication, session management and access control, do not share unsynchronized state.</t>
  </si>
  <si>
    <t>1.11.3</t>
  </si>
  <si>
    <t>Verify that all high-value business logic flows, including authentication, session management and access control are thread safe and resistant to time-of-check and time-of-use race conditions.</t>
  </si>
  <si>
    <t>Secure File Upload Architecture</t>
  </si>
  <si>
    <t>1.12.1</t>
  </si>
  <si>
    <t>[DELETED, DUPLICATE OF 12.4.1]</t>
  </si>
  <si>
    <t>1.12.2</t>
  </si>
  <si>
    <t>Verify that user-uploaded files - if required to be displayed or downloaded from the application - are served by either octet stream downloads, or from an unrelated domain, such as a cloud file storage bucket. Implement a suitable Content Security Policy (CSP) to reduce the risk from XSS vectors or other attacks from the uploaded file.</t>
  </si>
  <si>
    <t>API Architecture</t>
  </si>
  <si>
    <t>Configuration Architecture</t>
  </si>
  <si>
    <t>1.14.1</t>
  </si>
  <si>
    <t>Verify the segregation of components of differing trust levels through well-defined security controls, firewall rules, API gateways, reverse proxies, cloud-based security groups, or similar mechanisms.</t>
  </si>
  <si>
    <t>1.14.2</t>
  </si>
  <si>
    <t>Verify that binary signatures, trusted connections, and verified endpoints are used to deploy binaries to remote devices.</t>
  </si>
  <si>
    <t>1.14.3</t>
  </si>
  <si>
    <t>Verify that the build pipeline warns of out-of-date or insecure components and takes appropriate actions.</t>
  </si>
  <si>
    <t>1.14.4</t>
  </si>
  <si>
    <t>Verify that the build pipeline contains a build step to automatically build and verify the secure deployment of the application, particularly if the application infrastructure is software defined, such as cloud environment build scripts.</t>
  </si>
  <si>
    <t>1.14.5</t>
  </si>
  <si>
    <t>Verify that application deployments adequately sandbox, containerize and/or isolate at the network level to delay and deter attackers from attacking other applications, especially when they are performing sensitive or dangerous actions such as deserialization. ([C5](https://owasp.org/www-project-proactive-controls/#div-numbering))</t>
  </si>
  <si>
    <t>1.14.6</t>
  </si>
  <si>
    <t>Verify the application does not use unsupported, insecure, or deprecated client-side technologies such as NSAPI plugins, Flash, Shockwave, ActiveX, Silverlight, NACL, or client-side Java applets.</t>
  </si>
  <si>
    <t>2.1.1</t>
  </si>
  <si>
    <t>5.1.1.2</t>
  </si>
  <si>
    <t>Verify that user set passwords are at least 12 characters in length (after multiple spaces are combined). ([C6](https://owasp.org/www-project-proactive-controls/#div-numbering))</t>
  </si>
  <si>
    <t>2.1.2</t>
  </si>
  <si>
    <t>Verify that passwords of at least 64 characters are permitted, and that passwords of more than 128 characters are denied. ([C6](https://owasp.org/www-project-proactive-controls/#div-numbering))</t>
  </si>
  <si>
    <t>2.1.3</t>
  </si>
  <si>
    <t>Verify that password truncation is not performed. However, consecutive multiple spaces may be replaced by a single space. ([C6](https://owasp.org/www-project-proactive-controls/#div-numbering))</t>
  </si>
  <si>
    <t>2.1.4</t>
  </si>
  <si>
    <t>Verify that any printable Unicode character, including language neutral characters such as spaces and Emojis are permitted in passwords.</t>
  </si>
  <si>
    <t>2.1.5</t>
  </si>
  <si>
    <t>Verify users can change their password.</t>
  </si>
  <si>
    <t>2.1.6</t>
  </si>
  <si>
    <t>Verify that password change functionality requires the user's current and new password.</t>
  </si>
  <si>
    <t>2.1.7</t>
  </si>
  <si>
    <t>Verify that passwords submitted during account registration, login, and password change are checked against a set of breached passwords either locally (such as the top 1,000 or 10,000 most common passwords which match the system's password policy) or using an external API. If using an API a zero knowledge proof or other mechanism should be used to ensure that the plain text password is not sent or used in verifying the breach status of the password. If the password is breached, the application must require the user to set a new non-breached password. ([C6](https://owasp.org/www-project-proactive-controls/#div-numbering))</t>
  </si>
  <si>
    <t>2.1.8</t>
  </si>
  <si>
    <t>Verify that a password strength meter is provided to help users set a stronger password.</t>
  </si>
  <si>
    <t>2.1.9</t>
  </si>
  <si>
    <t>Verify that there are no password composition rules limiting the type of characters permitted. There should be no requirement for upper or lower case or numbers or special characters. ([C6](https://owasp.org/www-project-proactive-controls/#div-numbering))</t>
  </si>
  <si>
    <t>2.1.10</t>
  </si>
  <si>
    <t>Verify that there are no periodic credential rotation or password history requirements.</t>
  </si>
  <si>
    <t>2.1.11</t>
  </si>
  <si>
    <t>Verify that "paste" functionality, browser password helpers, and external password managers are permitted.</t>
  </si>
  <si>
    <t>2.1.12</t>
  </si>
  <si>
    <t>Verify that the user can choose to either temporarily view the entire masked password, or temporarily view the last typed character of the password on platforms that do not have this as built-in functionality.</t>
  </si>
  <si>
    <t>2.2.1</t>
  </si>
  <si>
    <t>5.2.2, 5.1.1.2, 5.1.4.2, 5.1.5.2</t>
  </si>
  <si>
    <t>Verify that anti-automation controls are effective at mitigating breached credential testing, brute force, and account lockout attacks. Such controls include blocking the most common breached passwords, soft lockouts, rate limiting, CAPTCHA, ever increasing delays between attempts, IP address restrictions, or risk-based restrictions such as location, first login on a device, recent attempts to unlock the account, or similar. Verify that no more than 100 failed attempts per hour is possible on a single account.</t>
  </si>
  <si>
    <t>2.2.2</t>
  </si>
  <si>
    <t>5.2.10</t>
  </si>
  <si>
    <t>Verify that the use of weak authenticators (such as SMS and email) is limited to secondary verification and transaction approval and not as a replacement for more secure authentication methods. Verify that stronger methods are offered before weak methods, users are aware of the risks, or that proper measures are in place to limit the risks of account compromise.</t>
  </si>
  <si>
    <t>2.2.3</t>
  </si>
  <si>
    <t>Verify that secure notifications are sent to users after updates to authentication details, such as credential resets, email or address changes, logging in from unknown or risky locations. The use of push notifications - rather than SMS or email - is preferred, but in the absence of push notifications, SMS or email is acceptable as long as no sensitive information is disclosed in the notification.</t>
  </si>
  <si>
    <t>2.2.4</t>
  </si>
  <si>
    <t>5.2.5</t>
  </si>
  <si>
    <t>Verify impersonation resistance against phishing, such as the use of multi-factor authentication, cryptographic devices with intent (such as connected keys with a push to authenticate), or at higher AAL levels, client-side certificates.</t>
  </si>
  <si>
    <t>2.2.5</t>
  </si>
  <si>
    <t>5.2.6</t>
  </si>
  <si>
    <t>Verify that where a Credential Service Provider (CSP) and the application verifying authentication are separated, mutually authenticated TLS is in place between the two endpoints.</t>
  </si>
  <si>
    <t>2.2.6</t>
  </si>
  <si>
    <t>5.2.8</t>
  </si>
  <si>
    <t>Verify replay resistance through the mandated use of One-time Passwords (OTP) devices, cryptographic authenticators, or lookup codes.</t>
  </si>
  <si>
    <t>2.2.7</t>
  </si>
  <si>
    <t>5.2.9</t>
  </si>
  <si>
    <t>Verify intent to authenticate by requiring the entry of an OTP token or user-initiated action such as a button press on a FIDO hardware key.</t>
  </si>
  <si>
    <t>Authenticator Lifecycle</t>
  </si>
  <si>
    <t>2.3.1</t>
  </si>
  <si>
    <t>5.1.1.2, A. 3</t>
  </si>
  <si>
    <t>Verify system generated initial passwords or activation codes SHOULD be securely randomly generated, SHOULD be at least 6 characters long, and MAY contain letters and numbers, and expire after a short period of time. These initial secrets must not be permitted to become the long term password.</t>
  </si>
  <si>
    <t>2.3.2</t>
  </si>
  <si>
    <t>6.1.3</t>
  </si>
  <si>
    <t>Verify that enrollment and use of user-provided authentication devices are supported, such as a U2F or FIDO tokens.</t>
  </si>
  <si>
    <t>2.3.3</t>
  </si>
  <si>
    <t>6.1.4</t>
  </si>
  <si>
    <t>Verify that renewal instructions are sent with sufficient time to renew time bound authenticators.</t>
  </si>
  <si>
    <t>2.4.1</t>
  </si>
  <si>
    <t>Verify that passwords are stored in a form that is resistant to offline attacks. Passwords SHALL be salted and hashed using an approved one-way key derivation or password hashing function. Key derivation and password hashing functions take a password, a salt, and a cost factor as inputs when generating a password hash. ([C6](https://owasp.org/www-project-proactive-controls/#div-numbering))</t>
  </si>
  <si>
    <t>2.4.2</t>
  </si>
  <si>
    <t>Verify that the salt is at least 32 bits in length and be chosen arbitrarily to minimize salt value collisions among stored hashes. For each credential, a unique salt value and the resulting hash SHALL be stored. ([C6](https://owasp.org/www-project-proactive-controls/#div-numbering))</t>
  </si>
  <si>
    <t>2.4.3</t>
  </si>
  <si>
    <t>Verify that if PBKDF2 is used, the iteration count SHOULD be as large as verification server performance will allow, typically at least 100,000 iterations. ([C6](https://owasp.org/www-project-proactive-controls/#div-numbering))</t>
  </si>
  <si>
    <t>2.4.4</t>
  </si>
  <si>
    <t>Verify that if bcrypt is used, the work factor SHOULD be as large as verification server performance will allow, with a minimum of 10. ([C6](https://owasp.org/www-project-proactive-controls/#div-numbering))</t>
  </si>
  <si>
    <t>2.4.5</t>
  </si>
  <si>
    <t>Verify that an additional iteration of a key derivation function is performed, using a salt value that is secret and known only to the verifier. Generate the salt value using an approved random bit generator [SP 800-90Ar1] and provide at least the minimum security strength specified in the latest revision of SP 800-131A. The secret salt value SHALL be stored separately from the hashed passwords (e.g., in a specialized device like a hardware security module).</t>
  </si>
  <si>
    <t>2.5.1</t>
  </si>
  <si>
    <t>Verify that a system generated initial activation or recovery secret is not sent in clear text to the user. ([C6](https://owasp.org/www-project-proactive-controls/#div-numbering))</t>
  </si>
  <si>
    <t>2.5.2</t>
  </si>
  <si>
    <t>Verify password hints or knowledge-based authentication (so-called "secret questions") are not present.</t>
  </si>
  <si>
    <t>2.5.3</t>
  </si>
  <si>
    <t>Verify password credential recovery does not reveal the current password in any way. ([C6](https://owasp.org/www-project-proactive-controls/#div-numbering))</t>
  </si>
  <si>
    <t>2.5.4</t>
  </si>
  <si>
    <t>Verify shared or default accounts are not present (e.g. "root", "admin", or "sa").</t>
  </si>
  <si>
    <t>2.5.5</t>
  </si>
  <si>
    <t>6.1.2.3</t>
  </si>
  <si>
    <t>Verify that if an authentication factor is changed or replaced, that the user is notified of this event.</t>
  </si>
  <si>
    <t>2.5.6</t>
  </si>
  <si>
    <t>Verify forgotten password, and other recovery paths use a secure recovery mechanism, such as time-based OTP (TOTP) or other soft token, mobile push, or another offline recovery mechanism. ([C6](https://owasp.org/www-project-proactive-controls/#div-numbering))</t>
  </si>
  <si>
    <t>2.5.7</t>
  </si>
  <si>
    <t>Verify that if OTP or multi-factor authentication factors are lost, that evidence of identity proofing is performed at the same level as during enrollment.</t>
  </si>
  <si>
    <t xml:space="preserve">Look-up Secret Verifier </t>
  </si>
  <si>
    <t>2.6.1</t>
  </si>
  <si>
    <t>5.1.2.2</t>
  </si>
  <si>
    <t>Verify that lookup secrets can be used only once.</t>
  </si>
  <si>
    <t>2.6.2</t>
  </si>
  <si>
    <t>Verify that lookup secrets have sufficient randomness (112 bits of entropy), or if less than 112 bits of entropy, salted with a unique and random 32-bit salt and hashed with an approved one-way hash.</t>
  </si>
  <si>
    <t>2.6.3</t>
  </si>
  <si>
    <t>Verify that lookup secrets are resistant to offline attacks, such as predictable values.</t>
  </si>
  <si>
    <t>Out of Band Verifier</t>
  </si>
  <si>
    <t>2.7.1</t>
  </si>
  <si>
    <t>5.1.3.2</t>
  </si>
  <si>
    <t>Verify that clear text out of band (NIST "restricted") authenticators, such as SMS or PSTN, are not offered by default, and stronger alternatives such as push notifications are offered first.</t>
  </si>
  <si>
    <t>2.7.2</t>
  </si>
  <si>
    <t>Verify that the out of band verifier expires out of band authentication requests, codes, or tokens after 10 minutes.</t>
  </si>
  <si>
    <t>2.7.3</t>
  </si>
  <si>
    <t>Verify that the out of band verifier authentication requests, codes, or tokens are only usable once, and only for the original authentication request.</t>
  </si>
  <si>
    <t>2.7.4</t>
  </si>
  <si>
    <t>Verify that the out of band authenticator and verifier communicates over a secure independent channel.</t>
  </si>
  <si>
    <t>2.7.5</t>
  </si>
  <si>
    <t>Verify that the out of band verifier retains only a hashed version of the authentication code.</t>
  </si>
  <si>
    <t>2.7.6</t>
  </si>
  <si>
    <t>Verify that the initial authentication code is generated by a secure random number generator, containing at least 20 bits of entropy (typically a six digital random number is sufficient).</t>
  </si>
  <si>
    <t>One Time Verifier</t>
  </si>
  <si>
    <t>2.8.1</t>
  </si>
  <si>
    <t>5.1.4.2, 5.1.5.2</t>
  </si>
  <si>
    <t>Verify that time-based OTPs have a defined lifetime before expiring.</t>
  </si>
  <si>
    <t>2.8.2</t>
  </si>
  <si>
    <t>Verify that symmetric keys used to verify submitted OTPs are highly protected, such as by using a hardware security module or secure operating system based key storage.</t>
  </si>
  <si>
    <t>2.8.3</t>
  </si>
  <si>
    <t>Verify that approved cryptographic algorithms are used in the generation, seeding, and verification of OTPs.</t>
  </si>
  <si>
    <t>2.8.4</t>
  </si>
  <si>
    <t>Verify that time-based OTP can be used only once within the validity period.</t>
  </si>
  <si>
    <t>2.8.5</t>
  </si>
  <si>
    <t>5.1.5.2</t>
  </si>
  <si>
    <t>Verify that if a time-based multi-factor OTP token is re-used during the validity period, it is logged and rejected with secure notifications being sent to the holder of the device.</t>
  </si>
  <si>
    <t>2.8.6</t>
  </si>
  <si>
    <t>5.2.1</t>
  </si>
  <si>
    <t>Verify physical single-factor OTP generator can be revoked in case of theft or other loss. Ensure that revocation is immediately effective across logged in sessions, regardless of location.</t>
  </si>
  <si>
    <t>2.8.7</t>
  </si>
  <si>
    <t>5.2.3</t>
  </si>
  <si>
    <t>Verify that biometric authenticators are limited to use only as secondary factors in conjunction with either something you have and something you know.</t>
  </si>
  <si>
    <t>Cryptographic Verifier</t>
  </si>
  <si>
    <t>2.9.1</t>
  </si>
  <si>
    <t>5.1.7.2</t>
  </si>
  <si>
    <t>Verify that cryptographic keys used in verification are stored securely and protected against disclosure, such as using a Trusted Platform Module (TPM) or Hardware Security Module (HSM), or an OS service that can use this secure storage.</t>
  </si>
  <si>
    <t>2.9.2</t>
  </si>
  <si>
    <t>Verify that the challenge nonce is at least 64 bits in length, and statistically unique or unique over the lifetime of the cryptographic device.</t>
  </si>
  <si>
    <t>2.9.3</t>
  </si>
  <si>
    <t>Verify that approved cryptographic algorithms are used in the generation, seeding, and verification.</t>
  </si>
  <si>
    <t xml:space="preserve">Service Authentication </t>
  </si>
  <si>
    <t>2.10.1</t>
  </si>
  <si>
    <t>LVL2: OS assisted, LVL3: HSM</t>
  </si>
  <si>
    <t>5.1.1.1</t>
  </si>
  <si>
    <t>Verify that intra-service secrets do not rely on unchanging credentials such as passwords, API keys or shared accounts with privileged access.</t>
  </si>
  <si>
    <t>2.10.2</t>
  </si>
  <si>
    <t>Verify that if passwords are required for service authentication, the service account used is not a default credential. (e.g. root/root or admin/admin are default in some services during installation).</t>
  </si>
  <si>
    <t>2.10.3</t>
  </si>
  <si>
    <t>Verify that passwords are stored with sufficient protection to prevent offline recovery attacks, including local system access.</t>
  </si>
  <si>
    <t>2.10.4</t>
  </si>
  <si>
    <t>Verify passwords, integrations with databases and third-party systems, seeds and internal secrets, and API keys are managed securely and not included in the source code or stored within source code repositories. Such storage SHOULD resist offline attacks. The use of a secure software key store (L1), hardware TPM, or an HSM (L3) is recommended for password storage.</t>
  </si>
  <si>
    <t>Fundamental Session Management Security</t>
  </si>
  <si>
    <t>3.1.1</t>
  </si>
  <si>
    <t>Verify the application never reveals session tokens in URL parameters or error messages.</t>
  </si>
  <si>
    <t>Session Binding</t>
  </si>
  <si>
    <t>3.2.1</t>
  </si>
  <si>
    <t>Verify the application generates a new session token on user authentication. ([C6](https://www.owasp.org/index.php/OWASP_Proactive_Controls#tab=Formal_Numbering))</t>
  </si>
  <si>
    <t>3.2.2</t>
  </si>
  <si>
    <t>Verify that session tokens possess at least 64 bits of entropy. ([C6](https://www.owasp.org/index.php/OWASP_Proactive_Controls#tab=Formal_Numbering))</t>
  </si>
  <si>
    <t>Non-valid</t>
  </si>
  <si>
    <t>3.2.3</t>
  </si>
  <si>
    <t>Verify the application only stores session tokens in the browser using secure methods such as appropriately secured cookies (see section 3.4) or HTML 5 session storage.</t>
  </si>
  <si>
    <t>3.2.4</t>
  </si>
  <si>
    <t>Verify that session tokens are generated using approved cryptographic algorithms. ([C6](https://www.owasp.org/index.php/OWASP_Proactive_Controls#tab=Formal_Numbering))</t>
  </si>
  <si>
    <t>Session Termination</t>
  </si>
  <si>
    <t>3.3.1</t>
  </si>
  <si>
    <t>Verify that logout and expiration invalidate the session token, such that the back button or a downstream relying party does not resume an authenticated session, including across relying parties. ([C6](https://owasp.org/www-project-proactive-controls/#div-numbering))</t>
  </si>
  <si>
    <t>3.3.2</t>
  </si>
  <si>
    <t>If authenticators permit users to remain logged in, verify that re-authentication occurs periodically both when actively used or after an idle period. ([C6](https://owasp.org/www-project-proactive-controls/#div-numbering))
* L1: 30 days
* L2: 12 hours or 30 minutes of inactivity, 2FA optional
* L3: 12 hours or 15 minutes of inactivity, with 2FA</t>
  </si>
  <si>
    <t>3.3.3</t>
  </si>
  <si>
    <t>Verify that the application gives the option to terminate all other active sessions after a successful password change (including change via password reset/recovery), and that this is effective across the application, federated login (if present), and any relying parties.</t>
  </si>
  <si>
    <t>Password Change Implementation is on AccountController.cs</t>
  </si>
  <si>
    <t>No implementation found for password change functionality and no mechanism to terminate other active sessions.</t>
  </si>
  <si>
    <t>ASP.NET Core Identity, Microsoft.AspNetCore.Authentication, Microsoft.AspNetCore.Session and Microsoft.AspNetCore.Identity.EntityFrameworkCore for Backend, Session middleware, Identity framework and Microsoft.AspNetCore.Authentication.JwtBearer</t>
  </si>
  <si>
    <t>3.3.4</t>
  </si>
  <si>
    <t>Verify that users are able to view and (having re-entered login credentials) log out of any or all currently active sessions and devices.</t>
  </si>
  <si>
    <t>Logout Implementation is on AccountController.cs, Session Configuration on Program.cs.</t>
  </si>
  <si>
    <t>No implementation for viewing active sessions and no mechanism to log out from specific sessions. No functionality to log out from all sessions except current and no device tracking mechanism. No re-authentication requirements for session management and only basic logout functionality for current session exists.</t>
  </si>
  <si>
    <t>ASP.NET Core Identity, Database Storage for Sessions, Session Management</t>
  </si>
  <si>
    <t>Cookie-based Session Management</t>
  </si>
  <si>
    <t>3.4.1</t>
  </si>
  <si>
    <t>7.1.1</t>
  </si>
  <si>
    <t>Verify that cookie-based session tokens have the 'Secure' attribute set. ([C6](https://owasp.org/www-project-proactive-controls/#div-numbering))</t>
  </si>
  <si>
    <t>3.4.2</t>
  </si>
  <si>
    <t>Verify that cookie-based session tokens have the 'HttpOnly' attribute set. ([C6](https://owasp.org/www-project-proactive-controls/#div-numbering))</t>
  </si>
  <si>
    <t>3.4.3</t>
  </si>
  <si>
    <t>Verify that cookie-based session tokens utilize the 'SameSite' attribute to limit exposure to cross-site request forgery attacks. ([C6](https://owasp.org/www-project-proactive-controls/#div-numbering))</t>
  </si>
  <si>
    <t>Program.cs contains session configuration with SameSite attribute in AddSession(...) and for authentication cookies there is ConfigureApplicationCookie(...)</t>
  </si>
  <si>
    <t>3.4.4</t>
  </si>
  <si>
    <t>Verify that cookie-based session tokens use the "__Host-" prefix so cookies are only sent to the host that initially set the cookie.</t>
  </si>
  <si>
    <t>Program.cs contains session and authentication cookie configurations in AddSession(...), and Authentication cookie configuration in ConfigureApplicationCookie(...)</t>
  </si>
  <si>
    <t>The application does not implement the "Host-" prefix for cookie names. There is no configuration setting the cookie name with this prefix in either the session or authentication cookie setup. The "_Host-" prefix is a security feature that, when combined with secure and path=/ attributes, ensures cookies are only sent to the host that initially set them, preventing cross-subdomain cookie leakage. This additional security measure is missing from the current implementation.</t>
  </si>
  <si>
    <t>ASP.NET Core Identity, Microsoft.AspNetCore.Authentication, Microsoft.AspNetCore.Session, Cookie authentication middleware, ASP.NET Core Cookie configuration</t>
  </si>
  <si>
    <t>3.4.5</t>
  </si>
  <si>
    <t>Verify that if the application is published under a domain name with other applications that set or use session cookies that might disclose the session cookies, set the path attribute in cookie-based session tokens using the most precise path possible. ([C6](https://owasp.org/www-project-proactive-controls/#div-numbering))</t>
  </si>
  <si>
    <t xml:space="preserve">The application does not explicitly set the Path attribute for cookies to the most precise path possible. There is no configuration in either the session or authentication cookie setup that restricts the cookies to specific application paths. By default, cookies in ASP.NET Core are set with the path "/", making them available across all paths of the domain. </t>
  </si>
  <si>
    <t xml:space="preserve">ASP.NET Core Identity, Microsoft.AspNetCore.Authentication, Microsoft.AspNetCore.Session, Cookie authentication middleware, ASP.NET Core Cookie configuration
</t>
  </si>
  <si>
    <t>Token-based Session Management</t>
  </si>
  <si>
    <t>3.5.1</t>
  </si>
  <si>
    <t>7.1.2</t>
  </si>
  <si>
    <t>Verify the application allows users to revoke OAuth tokens that form trust relationships with linked applications.</t>
  </si>
  <si>
    <t>There is not any implementation related to OAuth token management or revocation in the codebase.</t>
  </si>
  <si>
    <t xml:space="preserve">The application does not implement Outh authentication or authorization. There is no functionality for users to manage or revoke OAuth tokens for linked applications. The authentication system is based on ASP.NET Core Identity with cookie-based authentication rather than OAuth token-based authentication. No OAuth token storage, management, or revocation mechanisms were found in the codebase. No controllers or endpoints exist for users to view or manage external application connections.
</t>
  </si>
  <si>
    <t>ASP.NET Core Identity, Microsoft.AspNetCore.Authentication, Cookie authentication middleware, ASP.NET Core Authentication configuration</t>
  </si>
  <si>
    <t>3.5.2</t>
  </si>
  <si>
    <t>Verify the application uses session tokens rather than static API secrets and keys, except with legacy implementations.</t>
  </si>
  <si>
    <t>3.5.3</t>
  </si>
  <si>
    <t>Verify that stateless session tokens use digital signatures, encryption, and other countermeasures to protect against tampering, enveloping, replay, null cipher, and key substitution attacks.</t>
  </si>
  <si>
    <t>Federated Re-authentication</t>
  </si>
  <si>
    <t>3.6.1</t>
  </si>
  <si>
    <t>7.2.1</t>
  </si>
  <si>
    <t>Verify that  Relying Parties (RPs) specify the maximum authentication time to Credential Service Providers (CSPs) and that CSPs re-authenticate the subscriber if they haven't used a session within that period.</t>
  </si>
  <si>
    <t>Program.cs contains session timeout configuration but no RP-CSP specification, and no implementation of external authentication providers or federation found in the controller, like AccountController.cs</t>
  </si>
  <si>
    <t xml:space="preserve">The application does not implement a federated authentication system with Relying Parties (RPs) and Credential Service Providers (CSPs). There is no code that specifies maximum authentication time to external identity providers, nor mechanisms to enforce re-authentication based on such specifications. </t>
  </si>
  <si>
    <t>ASP.NET Core Identity, Microsoft.AspNetCore.Authentication, Microsoft.AspNetCore.Session, Cookie authentication middleware, ASP.NET Core Session configuration.</t>
  </si>
  <si>
    <t>3.6.2</t>
  </si>
  <si>
    <t>Verify that Credential Service Providers (CSPs) inform Relying Parties (RPs) of the last authentication event, to allow RPs to determine if they need to re-authenticate the user.</t>
  </si>
  <si>
    <t>The application does not function as a Credential Service rovider (CSP) and does not implement any mechanism to inform Relying Parties (RPs) about authentication events. The authentication system is a standalone implementation using ASP.NET Core Identity with no federation capabilities.</t>
  </si>
  <si>
    <t>ASP.NET Core Identity, Microsoft.AspNetCore.Authentication, Microsoft.AspNetCore.Session, Cookie authentication middleware, ASP.NET Core Identity configuration</t>
  </si>
  <si>
    <t>Defenses Against Session Management Exploits</t>
  </si>
  <si>
    <t>3.7.1</t>
  </si>
  <si>
    <t>Verify the application ensures a valid login session or requires re-authentication or secondary verification before allowing any sensitive transactions or account modifications.</t>
  </si>
  <si>
    <t>General Access Control Design</t>
  </si>
  <si>
    <t>4.1.1</t>
  </si>
  <si>
    <t>Verify that the application enforces access control rules on a trusted service layer, especially if client-side access control is present and could be bypassed.</t>
  </si>
  <si>
    <t>4.1.2</t>
  </si>
  <si>
    <t>Verify that all user and data attributes and policy information used by access controls cannot be manipulated by end users unless specifically authorized.</t>
  </si>
  <si>
    <t>4.1.3</t>
  </si>
  <si>
    <t>Verify that the principle of least privilege exists - users should only be able to access functions, data files, URLs, controllers, services, and other resources, for which they possess specific authorization. This implies protection against spoofing and elevation of privilege. ([C7](https://owasp.org/www-project-proactive-controls/#div-numbering))</t>
  </si>
  <si>
    <t>4.1.4</t>
  </si>
  <si>
    <t>4.1.5</t>
  </si>
  <si>
    <t>Verify that access controls fail securely including when an exception occurs. ([C10](https://owasp.org/www-project-proactive-controls/#div-numbering))</t>
  </si>
  <si>
    <t>Operation Level Access Control</t>
  </si>
  <si>
    <t>4.2.1</t>
  </si>
  <si>
    <t>Verify that sensitive data and APIs are protected against Insecure Direct Object Reference (IDOR) attacks targeting creation, reading, updating and deletion of records, such as creating or updating someone else's record, viewing everyone's records, or deleting all records.</t>
  </si>
  <si>
    <t>4.2.2</t>
  </si>
  <si>
    <t>Verify that the application or framework enforces a strong anti-CSRF mechanism to protect authenticated functionality, and effective anti-automation or anti-CSRF protects unauthenticated functionality.</t>
  </si>
  <si>
    <t>ASP.NET Core CORS middleware, Cookie configuration, SameSite cookie attributes, HTTPS enforcement (in production).</t>
  </si>
  <si>
    <t>Other Access Control Considerations</t>
  </si>
  <si>
    <t>4.3.1</t>
  </si>
  <si>
    <t>Verify administrative interfaces use appropriate multi-factor authentication to prevent unauthorized use.</t>
  </si>
  <si>
    <t>4.3.2</t>
  </si>
  <si>
    <t>Verify that directory browsing is disabled unless deliberately desired. Additionally, applications should not allow discovery or disclosure of file or directory metadata, such as Thumbs.db, .DS_Store, .git or .svn folders.</t>
  </si>
  <si>
    <t>4.3.3</t>
  </si>
  <si>
    <t>Verify the application has additional authorization (such as step up or adaptive authentication) for lower value systems, and / or segregation of duties for high value applications to enforce anti-fraud controls as per the risk of application and past fraud.</t>
  </si>
  <si>
    <t xml:space="preserve">Input Validation </t>
  </si>
  <si>
    <t>5.1.1</t>
  </si>
  <si>
    <t>Verify that the application has defenses against HTTP parameter pollution attacks, particularly if the application framework makes no distinction about the source of request parameters (GET, POST, cookies, headers, or environment variables).</t>
  </si>
  <si>
    <t>5.1.2</t>
  </si>
  <si>
    <t>Verify that frameworks protect against mass parameter assignment attacks, or that the application has countermeasures to protect against unsafe parameter assignment, such as marking fields private or similar. ([C5](https://owasp.org/www-project-proactive-controls/#div-numbering))</t>
  </si>
  <si>
    <t>5.1.3</t>
  </si>
  <si>
    <t>Verify that all input (HTML form fields, REST requests, URL parameters, HTTP headers, cookies, batch files, RSS feeds, etc) is validated using positive validation (allow lists). ([C5](https://owasp.org/www-project-proactive-controls/#div-numbering))</t>
  </si>
  <si>
    <t>AccountController.cs shows basic validation but no clear allowlisting in Login(...).</t>
  </si>
  <si>
    <t>The application lacks evidence of comprehensive positive validation (allowlisting) accross all input types.</t>
  </si>
  <si>
    <t>ASP.NET Core model validation, ModelState validation in controllers, Data annotations (inferred).</t>
  </si>
  <si>
    <t>5.1.4</t>
  </si>
  <si>
    <t>Verify that structured data is strongly typed and validated against a defined schema including allowed characters, length and pattern (e.g. credit card numbers, e-mail addresses, telephone numbers, or validating that two related fields are reasonable, such as checking that suburb and zip/postcode match). ([C5](https://owasp.org/www-project-proactive-controls/#div-numbering))</t>
  </si>
  <si>
    <t>AccountController.cs shows basic validation in Login(...).</t>
  </si>
  <si>
    <t xml:space="preserve">The application shows insifficient evidence of strong typing and schema validation. Without seeing the complete model definitions with their validation attributes, it's impossible to confirm that proper schema validation is implemented. The visible code only shows basic validation checks without the detailed constraints that would be necessary for proper structured data validation. </t>
  </si>
  <si>
    <t>ASP.NET Core model validation, ModelState validation in controllers, Strong typing in C# classes.</t>
  </si>
  <si>
    <t>5.1.5</t>
  </si>
  <si>
    <t>Verify that URL redirects and forwards only allow destinations which appear on an allow list, or show a warning when redirecting to potentially untrusted content.</t>
  </si>
  <si>
    <t>Found limited evidence of redirects in the frontend code in LoginSignUp.js.</t>
  </si>
  <si>
    <t>Based on the limited code available, the application does not show comprehensive protection against open redirect vulnerabilities.</t>
  </si>
  <si>
    <t xml:space="preserve">We are using Frontend navigation (window.location.href), React routing (inferred), No visible server-side redirect validation tools or mechanisms
</t>
  </si>
  <si>
    <t xml:space="preserve">Sanitization and Sandboxing </t>
  </si>
  <si>
    <t>Verify that all untrusted HTML input from WYSIWYG editors or similar is properly sanitized with an HTML sanitizer library or framework feature. ([C5](https://owasp.org/www-project-proactive-controls/#div-numbering))</t>
  </si>
  <si>
    <t>No clear evidence of WYSIWYG editors or HTML input handling was found.</t>
  </si>
  <si>
    <t>Based on the limited code available, there is no evidence that the application handles untrusted HTML input or implements proper HTML sanitization.</t>
  </si>
  <si>
    <t>5.2.2</t>
  </si>
  <si>
    <t>Verify that unstructured data is sanitized to enforce safety measures such as allowed characters and length.</t>
  </si>
  <si>
    <t>Limited evidence of input handling without explicit sanitization.</t>
  </si>
  <si>
    <t>The application shows insifficient evidence of sanitizing unstructed data.</t>
  </si>
  <si>
    <t>No dedicated sanitization tools visible.</t>
  </si>
  <si>
    <t>Verify that the application sanitizes user input before passing to mail systems to protect against SMTP or IMAP injection.</t>
  </si>
  <si>
    <t>Found partial email handling in Program.cs in AddSingleton&lt;&gt;()</t>
  </si>
  <si>
    <t>Baseed on the limit evidence, the application does not show proper sanitization for email-related inputs.</t>
  </si>
  <si>
    <t>No visible email sanitization tools or libraries.</t>
  </si>
  <si>
    <t>5.2.4</t>
  </si>
  <si>
    <t>Verify that the application avoids the use of eval() or other dynamic code execution features. Where there is no alternative, any user input being included must be sanitized or sandboxed before being executed.</t>
  </si>
  <si>
    <t>No instances of dynamic code execution were found in the server-side C# code examined, including in Login(...).</t>
  </si>
  <si>
    <t>The application correctly avoids dynamic code xecution features.</t>
  </si>
  <si>
    <t>Verify that the application protects against template injection attacks by ensuring that any user input being included is sanitized or sandboxed.</t>
  </si>
  <si>
    <t>Verify that the application protects against SSRF attacks, by validating or sanitizing untrusted data or HTTP file metadata, such as filenames and URL input fields, and uses allow lists of protocols, domains, paths and ports.</t>
  </si>
  <si>
    <t>Limited evidence of URL or file handling in the code.</t>
  </si>
  <si>
    <t>Based on the available code, SSRF protection measures are not evident.</t>
  </si>
  <si>
    <t>5.2.7</t>
  </si>
  <si>
    <t>Verify that the application sanitizes, disables, or sandboxes user-supplied Scalable Vector Graphics (SVG) scriptable content, especially as they relate to XSS resulting from inline scripts, and foreignObject.</t>
  </si>
  <si>
    <t>No evidence of SVG handling was found in the code.</t>
  </si>
  <si>
    <t>Based on the code, SVG content handling annot be properly assessed.</t>
  </si>
  <si>
    <t>Verify that the application sanitizes, disables, or sandboxes user-supplied scriptable or expression template language content, such as Markdown, CSS or XSL stylesheets, BBCode, or similar.</t>
  </si>
  <si>
    <t>No evidence of handling scriptable content like Markdown or CSS was found in the code.</t>
  </si>
  <si>
    <t>Based on the code, handling of scriptable content formats cannot be assessed.</t>
  </si>
  <si>
    <t xml:space="preserve">Output encoding and Injection Prevention </t>
  </si>
  <si>
    <t>5.3.1</t>
  </si>
  <si>
    <r>
      <rPr>
        <sz val="12"/>
        <color rgb="FF102A43"/>
        <rFont val="Calibri"/>
      </rPr>
      <t xml:space="preserve">Verify that output encoding is relevant for the interpreter and context required. For example, use encoders specifically for HTML values, HTML attributes, JavaScript, URL parameters, HTTP headers, SMTP, and others as the context requires, especially from untrusted inputs (e.g. names with Unicode or apostrophes, such as </t>
    </r>
    <r>
      <rPr>
        <sz val="12"/>
        <color rgb="FF102A43"/>
        <rFont val="Noto Sans CJK SC"/>
      </rPr>
      <t xml:space="preserve">ねこ </t>
    </r>
    <r>
      <rPr>
        <sz val="12"/>
        <color rgb="FF102A43"/>
        <rFont val="Calibri"/>
      </rPr>
      <t>or O'Hara). ([C4](https://owasp.org/www-project-proactive-controls/#div-numbering))</t>
    </r>
  </si>
  <si>
    <t>5.3.2</t>
  </si>
  <si>
    <t>Verify that output encoding preserves the user's chosen character set and locale, such that any Unicode character point is valid and safely handled. ([C4](https://owasp.org/www-project-proactive-controls/#div-numbering))</t>
  </si>
  <si>
    <t>5.3.3</t>
  </si>
  <si>
    <t>Verify that context-aware, preferably automated - or at worst, manual - output escaping protects against reflected, stored, and DOM based XSS. ([C4](https://owasp.org/www-project-proactive-controls/#div-numbering))</t>
  </si>
  <si>
    <t>5.3.4</t>
  </si>
  <si>
    <t>Verify that data selection or database queries (e.g. SQL, HQL, ORM, NoSQL) use parameterized queries, ORMs, entity frameworks, or are otherwise protected from database injection attacks. ([C3](https://owasp.org/www-project-proactive-controls/#div-numbering))</t>
  </si>
  <si>
    <t>In Program.cs shows Entity Framework Core configuration in AddDbContext&lt;...&gt;(...) and in AddScoped&lt;...&gt;(). AccountController.cs uses Entity Framework with parametrized methods in FindByEmailAsync(...) and in GetRolesAsync(...). And in Repository pattern implementation is referenced in Program.cs, suggesting proper data access abstraction in AddScoped&lt;...&gt;().</t>
  </si>
  <si>
    <t xml:space="preserve">The application properly protects against database injection. </t>
  </si>
  <si>
    <t>Entity Framework Core, Repository patterns (IUnitOfWork), ASP.NET Core Identity, LINQ, Parametrized queries through ORMs.</t>
  </si>
  <si>
    <t>5.3.5</t>
  </si>
  <si>
    <t>Verify that where parameterized or safer mechanisms are not present, context-specific output encoding is used to protect against injection attacks, such as the use of SQL escaping to protect against SQL injection. ([C3, C4](https://owasp.org/www-project-proactive-controls/#div-numbering))</t>
  </si>
  <si>
    <t>Program.cs shows exclusive use of Entity Framework Core in AddDbContext&lt;...&gt;(...) and in AddScoped&lt;...&gt;().</t>
  </si>
  <si>
    <t>The application meets this requirement through proper architecture.</t>
  </si>
  <si>
    <t>5.3.6</t>
  </si>
  <si>
    <t>Verify that the application protects against JSON injection attacks, JSON eval attacks, and JavaScript expression evaluation. ([C4](https://owasp.org/www-project-proactive-controls/#div-numbering))</t>
  </si>
  <si>
    <t>No specific JSON validation, sanitization, or protection mechanisms were found in the code.</t>
  </si>
  <si>
    <t>Base on the code, protection against JSON-related attacks is not evident.</t>
  </si>
  <si>
    <t>5.3.7</t>
  </si>
  <si>
    <t>Verify that the application protects against LDAP injection vulnerabilities, or that specific security controls to prevent LDAP injection have been implemented. ([C4](https://owasp.org/www-project-proactive-controls/#div-numbering))</t>
  </si>
  <si>
    <t>Program.cs shows standard Identity configuration in AddIdentity and AccountController.cs uses Identity for authentication in PasswordSignInAsync(...).</t>
  </si>
  <si>
    <t>This requirement is valid because the application does not use LDAP for authentication or directory services, Authentication is handled through ASP.NET Core Identity with Entity Framework storage, No LDAP queries or connections were found in the codebase, No LDAP-related libraries or dependencies were identified and the application.</t>
  </si>
  <si>
    <t>ASP.NET Core Identity, Entity Framework Core for identity storage, No LDAP-related components identified.</t>
  </si>
  <si>
    <t>5.3.8</t>
  </si>
  <si>
    <t>Verify that the application protects against OS command injection and that operating system calls use parameterized OS queries or use contextual command line output encoding. ([C4](https://owasp.org/www-project-proactive-controls/#div-numbering))</t>
  </si>
  <si>
    <t>No evidence of OS command execution was found in the codebase.</t>
  </si>
  <si>
    <t xml:space="preserve">This requirement is considered valid because the application does not execute OS commands or system processes, No use of Process.Start(), System.Diagnostics.Process, or similar APIs, No shell command execution or command-line utilities invocation, No evidence of external program execution, </t>
  </si>
  <si>
    <t>No OS command execution components or utilities identified.</t>
  </si>
  <si>
    <t>5.3.9</t>
  </si>
  <si>
    <t>Verify that the application protects against Local File Inclusion (LFI) or Remote File Inclusion (RFI) attacks.</t>
  </si>
  <si>
    <t>No evidence of file inclusion from user-controlled paths was found in the codebase.</t>
  </si>
  <si>
    <t>This requirement is considered valid because does not implement dynamic file inclusion based on user input, no evidence of including or loading files from user-controlled paths, no usage of file system operations with dynamic paths, no implementation of features that tipically lead to LFI/RFI (like themes, plugins, or custum includes) and standard fixed imports and references used throughout the codebase.</t>
  </si>
  <si>
    <t>5.3.10</t>
  </si>
  <si>
    <t>Verify that the application protects against XPath injection or XML injection attacks. ([C4](https://owasp.org/www-project-proactive-controls/#div-numbering))</t>
  </si>
  <si>
    <t>No evidence of XML processing or XPath queries was found in the codebase.</t>
  </si>
  <si>
    <t xml:space="preserve">This requirement is considered valid because the application does not use XML for data processing or storage, no XPath queries or XML parsing operation were found, the </t>
  </si>
  <si>
    <t xml:space="preserve">Memory, String and Unmanaged Code </t>
  </si>
  <si>
    <t>5.4.1</t>
  </si>
  <si>
    <t>Verify that the application uses memory-safe string, safer memory copy and pointer arithmetic to detect or prevent stack, buffer, or heap overflows.</t>
  </si>
  <si>
    <t xml:space="preserve">The application is built with C# using ASP.NET Core, which inherently provides memory-safe operations, like Program.cs shows standard C# and ASP.NET Core usage in CreateBuilder(...) and AddController() in the builder created, and in AccountController </t>
  </si>
  <si>
    <t xml:space="preserve">This requirement is considered valid because C# is a memory-safe language with automatic garbage collection, ASP.NET Core provides memory-safe string handling and operations, the application does not use unsafe code blocks or direct memory manipulation, String operations use standard .NET memory-safe methods, no manual buffer management or pointer arithmetic was identified and the </t>
  </si>
  <si>
    <t>5.4.2</t>
  </si>
  <si>
    <t>Verify that format strings do not take potentially hostile input, and are constant.</t>
  </si>
  <si>
    <t>No evidence of unsafe format string usage was found in the codebase.</t>
  </si>
  <si>
    <t xml:space="preserve">This requirement is consiered valid because the application uses constant string messages throughout the codebase, no evidence of using user input in format strings, error messages and notification use fixed strings, no string interpolation or formatting with user-controlled values, String concatenation operations (where visible) don't involve format specifiersand </t>
  </si>
  <si>
    <t>5.4.3</t>
  </si>
  <si>
    <t>Verify that sign, range, and input validation techniques are used to prevent integer overflows.</t>
  </si>
  <si>
    <t xml:space="preserve">Deserialization Prevention </t>
  </si>
  <si>
    <t>5.5.1</t>
  </si>
  <si>
    <t>Verify that serialized objects use integrity checks or are encrypted to prevent hostile object creation or data tampering. ([C5](https://owasp.org/www-project-proactive-controls/#div-numbering))</t>
  </si>
  <si>
    <t>Limited evidence of object serialization was found in the provided code snippets.</t>
  </si>
  <si>
    <t>Based on the code, protection for serialized object is not evident.</t>
  </si>
  <si>
    <t>5.5.2</t>
  </si>
  <si>
    <t>Verify that the application correctly restricts XML parsers to only use the most restrictive configuration possible and to ensure that unsafe features such as resolving external entities are disabled to prevent XML eXternal Entity (XXE) attacks.</t>
  </si>
  <si>
    <t>No evidence of XML parsing was found in the codebase.</t>
  </si>
  <si>
    <t xml:space="preserve">This requirement is considered valid because the application does not use XML parsing or processing, no XML-related libraries or parsers were found in the codebase, the </t>
  </si>
  <si>
    <t>5.5.3</t>
  </si>
  <si>
    <t>Verify that deserialization of untrusted data is avoided or is protected in both custom code and third-party libraries (such as JSON, XML and YAML parsers).</t>
  </si>
  <si>
    <t>Limited evidence of deserialization operations in the provided code snippets.</t>
  </si>
  <si>
    <t>Based on the code available, deserialization protection is not evident.</t>
  </si>
  <si>
    <t>5.5.4</t>
  </si>
  <si>
    <t>Verify that when parsing JSON in browsers or JavaScript-based backends, JSON.parse is used to parse the JSON document. Do not use eval() to parse JSON.</t>
  </si>
  <si>
    <t>Frontend Javascript</t>
  </si>
  <si>
    <t xml:space="preserve">This requirement is considered valid because the Frontend uses axios for API requests, which automatically parses JSON safely, no instances of eval() for JSON parsing were found in any JavaScript code, the Backend uses ASP.NET Core's built-in JSON deserialization which is safe, </t>
  </si>
  <si>
    <t>Data Classification</t>
  </si>
  <si>
    <t>6.1.1</t>
  </si>
  <si>
    <t>Verify that regulated private data is stored encrypted while at rest, such as Personally Identifiable Information (PII), sensitive personal information, or data assessed likely to be subject to EU's GDPR.</t>
  </si>
  <si>
    <t>6.1.2</t>
  </si>
  <si>
    <t>Verify that regulated health data is stored encrypted while at rest, such as medical records, medical device details, or de-anonymized research records.</t>
  </si>
  <si>
    <t>Verify that regulated financial data is stored encrypted while at rest, such as financial accounts, defaults or credit history, tax records, pay history, beneficiaries, or de-anonymized market or research records.</t>
  </si>
  <si>
    <t>Algorithms</t>
  </si>
  <si>
    <t>6.2.1</t>
  </si>
  <si>
    <t>Verify that all cryptographic modules fail securely, and errors are handled in a way that does not enable Padding Oracle attacks.</t>
  </si>
  <si>
    <t>6.2.2</t>
  </si>
  <si>
    <t>Verify that industry proven or government approved cryptographic algorithms, modes, and libraries are used, instead of custom coded cryptography. ([C8](https://owasp.org/www-project-proactive-controls/#div-numbering))</t>
  </si>
  <si>
    <t>6.2.3</t>
  </si>
  <si>
    <t>Verify that encryption initialization vector, cipher configuration, and block modes are configured securely using the latest advice.</t>
  </si>
  <si>
    <t>6.2.4</t>
  </si>
  <si>
    <t>Verify that random number, encryption or hashing algorithms, key lengths, rounds, ciphers or modes, can be reconfigured, upgraded, or swapped at any time, to protect against cryptographic breaks. ([C8](https://owasp.org/www-project-proactive-controls/#div-numbering))</t>
  </si>
  <si>
    <t>6.2.5</t>
  </si>
  <si>
    <t>Verify that known insecure block modes (i.e. ECB, etc.), padding modes (i.e. PKCS#1 v1.5, etc.), ciphers with small block sizes (i.e. Triple-DES, Blowfish, etc.), and weak hashing algorithms (i.e. MD5, SHA1, etc.) are not used unless required for backwards compatibility.</t>
  </si>
  <si>
    <t>6.2.6</t>
  </si>
  <si>
    <t>Verify that nonces, initialization vectors, and other single use numbers must not be used more than once with a given encryption key. The method of generation must be appropriate for the algorithm being used.</t>
  </si>
  <si>
    <t>6.2.7</t>
  </si>
  <si>
    <t>Verify that encrypted data is authenticated via signatures, authenticated cipher modes, or HMAC to ensure that ciphertext is not altered by an unauthorized party.</t>
  </si>
  <si>
    <t>6.2.8</t>
  </si>
  <si>
    <t>Verify that all cryptographic operations are constant-time, with no 'short-circuit' operations in comparisons, calculations, or returns, to avoid leaking information.</t>
  </si>
  <si>
    <t>Random values</t>
  </si>
  <si>
    <t>6.3.1</t>
  </si>
  <si>
    <t>Verify that all random numbers, random file names, random GUIDs, and random strings are generated using the cryptographic module's approved cryptographically secure random number generator when these random values are intended to be not guessable by an attacker.</t>
  </si>
  <si>
    <t>6.3.2</t>
  </si>
  <si>
    <t>Verify that random GUIDs are created using the GUID v4 algorithm, and a Cryptographically-secure Pseudo-random Number Generator (CSPRNG). GUIDs created using other pseudo-random number generators may be predictable.</t>
  </si>
  <si>
    <t>6.3.3</t>
  </si>
  <si>
    <t>Verify that random numbers are created with proper entropy even when the application is under heavy load, or that the application degrades gracefully in such circumstances.</t>
  </si>
  <si>
    <t>Secret Management</t>
  </si>
  <si>
    <t>6.4.1</t>
  </si>
  <si>
    <t>Verify that a secrets management solution such as a key vault is used to securely create, store, control access to and destroy secrets. ([C8](https://owasp.org/www-project-proactive-controls/#div-numbering))</t>
  </si>
  <si>
    <t>6.4.2</t>
  </si>
  <si>
    <t>Verify that key material is not exposed to the application but instead uses an isolated security module like a vault for cryptographic operations. ([C8](https://owasp.org/www-project-proactive-controls/#div-numbering))</t>
  </si>
  <si>
    <t xml:space="preserve">Log Content </t>
  </si>
  <si>
    <t>Verify that the application does not log credentials or payment details. Session tokens should only be stored in logs in an irreversible, hashed form. ([C9, C10](https://owasp.org/www-project-proactive-controls/#div-numbering))</t>
  </si>
  <si>
    <t>// AccountController.cs lines 30-46
[HttpPost("login")]
[AllowAnonymous]
public async Task&lt;IActionResult&gt; Login([FromBody] LoginViewModel loginViewModel)
{
    if (ModelState.IsValid)
    {
        var result = await _signInManager.PasswordSignInAsync(loginViewModel.Email, loginViewModel.Password, loginViewModel.RememberMe, lockoutOnFailure: true);
        // No direct logging of credentials
    }
}</t>
  </si>
  <si>
    <t>The application doesn't explicitly log credentials or payment details in the code. Authentication is handled through ASP.NET Identity which doesn't log passwords by default. However, there's no structured logging strategy that defines what shouldn't be logged, and no explicit filtering or redaction of sensitive data in error scenarios. While not actively problematic, the application lacks safeguards against accidental logging of sensitive information</t>
  </si>
  <si>
    <t>Serilog or NLog with destructuring policies that redact sensitive information. Apply attributes or filters that prevent sensitive data from reaching logs. Use tools like grep or log analysis tools to scan logs for patterns indicating sensitive data leakage</t>
  </si>
  <si>
    <t>Verify that the application does not log other sensitive data as defined under local privacy laws or relevant security policy. ([C9](https://owasp.org/www-project-proactive-controls/#div-numbering))</t>
  </si>
  <si>
    <t>The application doesn't have a comprehensive logging strategy with consideration for privacy laws. There are no log sanitization mechanisms, no data classification to identify what should be excluded from logs, and no explicit handling of personally identifiable information in logging contexts. This creates risk of accidentally logging sensitive data in violation of privacy regulations</t>
  </si>
  <si>
    <t>Logging policy with Serilog's Destructuring or NLog's Layout Renderers to exclude/mask PII. Use custom LoggerProvider implementations that filter sensitive data before writing to logs. Scan logs with tools like Microsoft's Data Classification Service or custom regex patterns to detect PII</t>
  </si>
  <si>
    <t>7.1.3</t>
  </si>
  <si>
    <t>Verify that the application logs security relevant events including successful and failed authentication events, access control failures, deserialization failures and input validation failures. ([C5, C7](https://owasp.org/www-project-proactive-controls/#div-numbering))</t>
  </si>
  <si>
    <t>// AccountController.cs lines 41-57 (no explicit logging of auth failures)
if (result.IsLockedOut)
{
    return StatusCode(423, new { message = "Account locked" });
}
else
{
    return Unauthorized(new { message = "Invalid login attempt" });
}</t>
  </si>
  <si>
    <t>The application doesn't systematically log security events. Authentication failures, access control decisions, input validation failures, and other security-relevant events are handled but not logged. The application's default logging configuration in appsettings.json exists, but there's no implementation of security event logging throughout the codebase</t>
  </si>
  <si>
    <t>Comprehensive security logging with Application Insights or Serilog/NLog with security-focused log sinks. Add logging middleware that captures security events automatically. Use OWASP Security Logging library or similar frameworks to standardize security event logging</t>
  </si>
  <si>
    <t>7.1.4</t>
  </si>
  <si>
    <t>Verify that each log event includes necessary information that would allow for a detailed investigation of the timeline when an event happens. ([C9](https://owasp.org/www-project-proactive-controls/#div-numbering))</t>
  </si>
  <si>
    <t>// appsettings.json lines 2-6 (basic logging config only)
"Logging": {
    "LogLevel": {
        "Default": "Information",
        "Microsoft.AspNetCore": "Warning"
    }
}</t>
  </si>
  <si>
    <t>The application only has basic logging configuration without structured logging or detailed context. Log events don't consistently include user IDs, timestamps, operation details, or request identifiers that would enable timeline reconstruction during security investigations. There's no standardized logging format or context enrichment across the application</t>
  </si>
  <si>
    <t>Structured logging with Serilog or NLog with context enrichers that add user identity, request ID, IP address, and timestamps. Use correlation IDs with ASP.NET Core's TraceIdentifier to link related events. For validation, create log analysis dashboards with tools like Seq or Kibana</t>
  </si>
  <si>
    <t>Log Processing</t>
  </si>
  <si>
    <t>Verify that all authentication decisions are logged, without storing sensitive session identifiers or passwords. This should include requests with relevant metadata needed for security investigations.</t>
  </si>
  <si>
    <t>The application doesn't log authentication events. Successful and failed login attempts, signouts, and password changes aren't systematically logged. While the application handles these events correctly from a functional perspective, there's no audit trail of authentication activities that would be necessary for security monitoring and investigation</t>
  </si>
  <si>
    <t>Authentication event logging using ASP.NET Core Identity's SignInManager events or custom authentication middleware. Store logs securely in Application Insights or a SIEM system. Test with tools like Microsoft Sentinel or Splunk to verify log comprehensiveness</t>
  </si>
  <si>
    <t>7.2.2</t>
  </si>
  <si>
    <t>Verify that all access control decisions can be logged and all failed decisions are logged. This should include requests with relevant metadata needed for security investigations.</t>
  </si>
  <si>
    <t>// ProductController.cs lines 28-34 (access control without logging)
[HttpGet("{id}")]
public IActionResult GetProduct(int id)
{
    var product = _unitOfWork.Product.Get(p =&gt; p.Id == id &amp;&amp; !p.IsDeleted, "Composites.SubProduct");
    if (product == null)
    {
        return NotFound(new { message = "Product not found" });
    }
}</t>
  </si>
  <si>
    <t>The application implements access control through authorization attributes and explicit checks in controllers, but doesn't log these decisions. Failed access attempts return appropriate status codes but aren't recorded for security monitoring. There's no systematic logging of authorization decisions that would help detect potential security breaches</t>
  </si>
  <si>
    <t>Authorization logging middleware or filters that capture all access control decisions. Use policy-based authorization with IAuthorizationHandler implementations that include logging. Verify with log analysis tools like ELK Stack or Splunk to ensure comprehensive logging of access decisions</t>
  </si>
  <si>
    <t>Log Protection</t>
  </si>
  <si>
    <t>7.3.1</t>
  </si>
  <si>
    <t>Verify that all logging components appropriately encode data to prevent log injection. ([C9](https://owasp.org/www-project-proactive-controls/#div-numbering))</t>
  </si>
  <si>
    <t>The application doesn't have specific protections against log injection attacks. There's no evidence of log sanitization, encoding of user input before logging, or use of structured logging that would inherently protect against injection. This creates vulnerability to attacks where malicious user input could manipulate log records</t>
  </si>
  <si>
    <t>Structured logging with Serilog or NLog which inherently prevents most log injection attacks. Use logging libraries that escape special characters in log messages. Test with tools like OWASP ZAP or custom penetration testing scripts targeting logging mechanisms</t>
  </si>
  <si>
    <t>7.3.2</t>
  </si>
  <si>
    <t xml:space="preserve">[DELETED, DUPLICATE OF 7.3.1] </t>
  </si>
  <si>
    <t>7.3.3</t>
  </si>
  <si>
    <t>Verify that security logs are protected from unauthorized access and modification. ([C9](https://owasp.org/www-project-proactive-controls/#div-numbering))</t>
  </si>
  <si>
    <t>The application doesn't implement protection mechanisms for log files or logging infrastructure. There's no evidence of log integrity protection, access controls specific to logs, or secure log transmission. This leaves logs vulnerable to tampering or unauthorized access, which could compromise security investigations</t>
  </si>
  <si>
    <t>Tamper-evident logging with digital signatures or secure centralized logging with Syslog or a SIEM solution. Use file system ACLs or dedicated log management solutions that enforce access controls. Verify with security audit tools specific to log protection</t>
  </si>
  <si>
    <t>7.3.4</t>
  </si>
  <si>
    <t>Verify that time sources are synchronized to the correct time and time zone. Strongly consider logging only in UTC if systems are global to assist with post-incident forensic analysis. ([C9](https://owasp.org/www-project-proactive-controls/#div-numbering))</t>
  </si>
  <si>
    <t>The application doesn't address time synchronization or standardized time formats in logs. There's no configuration to ensure consistent time sources across services, no standardization on UTC, and no timestamp formatting policy. This could complicate incident response and forensic analysis if logs from different components have inconsistent timestamps</t>
  </si>
  <si>
    <t>NTP synchronization at the server level and standardize on UTC in logging configuration. Use logging frameworks that support automatic timestamp conversion and formatting. Verify time synchronization with monitoring tools that check for time drift</t>
  </si>
  <si>
    <t>Error Handling</t>
  </si>
  <si>
    <t>7.4.1</t>
  </si>
  <si>
    <t>Verify that a generic message is shown when an unexpected or security sensitive error occurs, potentially with a unique ID which support personnel can use to investigate. ([C10](https://owasp.org/www-project-proactive-controls/#div-numbering))</t>
  </si>
  <si>
    <t>// ProductController.cs lines 30-33 (example of good practice)
if (product == null)
{
    return NotFound(new { message = "Product not found" });
}</t>
  </si>
  <si>
    <t>The application generally returns appropriate error messages with status codes for expected failure scenarios. However, there's no consistent error handling strategy for unexpected exceptions, no custom error pages or middleware that would present a generic message to users while logging detailed information internally. The application lacks a global exception handler that would maintain security while providing useful feedback</t>
  </si>
  <si>
    <t>ASP.NET Core's Exception Handling Middleware with custom error pages. Use Problem Details standard (RFC 7807) for structured error responses. Test with tools like Postman or custom scripts that trigger various error conditions</t>
  </si>
  <si>
    <t>7.4.2</t>
  </si>
  <si>
    <t>Verify that exception handling (or a functional equivalent) is used across the codebase to account for expected and unexpected error conditions. ([C10](https://owasp.org/www-project-proactive-controls/#div-numbering))</t>
  </si>
  <si>
    <t>// AMAP/AMAP.Data/DbInitializer/DbInitializer.cs lines 31-39
try
{
    if (_db.Database.GetPendingMigrations().Count() &gt; 0)
    {
        _db.Database.Migrate();
    }
}
catch (Exception ex)
{
    // Logar ou tratar o erro conforme necessário
}</t>
  </si>
  <si>
    <t>The application has some exception handling in critical areas, but it's not consistently applied throughout the codebase. Many methods lack try-catch blocks, there's limited use of exception filters or middleware for handling exceptions, and no standardized approach to exception management. The DbInitializer example shows exception handling but with an empty catch block, which indicates incomplete implementation</t>
  </si>
  <si>
    <t>Global exception handling middleware, use exception filters for controller actions, and adopt a consistent try-catch pattern with proper logging. Use static analysis tools like Roslynator or SonarQube to identify areas lacking exception handling</t>
  </si>
  <si>
    <t>7.4.3</t>
  </si>
  <si>
    <t>Verify that a "last resort" error handler is defined which will catch all unhandled exceptions. ([C10](https://owasp.org/www-project-proactive-controls/#div-numbering))</t>
  </si>
  <si>
    <t>The application doesn't have a global or "last resort" error handler for unhandled exceptions. There's no UseExceptionHandler middleware configured in Program.cs, no custom error page for unexpected errors, and no mechanism to ensure all unhandled exceptions are logged while presenting a sanitized message to users. This omission could lead to detailed stack traces being exposed to users when unexpected errors occur</t>
  </si>
  <si>
    <t>ASP.NET Core's UseExceptionHandler middleware in Program.cs, create custom error pages for different error scenarios, and configure development vs. production error handling. Test with deliberate exceptions to verify that the last-resort handler catches all unhandled exceptions</t>
  </si>
  <si>
    <t>General Data Protection</t>
  </si>
  <si>
    <t>8.1.1</t>
  </si>
  <si>
    <t>Verify the application protects sensitive data from being cached in server components such as load balancers and application caches.</t>
  </si>
  <si>
    <t>8.1.2</t>
  </si>
  <si>
    <t>Verify that all cached or temporary copies of sensitive data stored on the server are protected from unauthorized access or purged/invalidated after the authorized user accesses the sensitive data.</t>
  </si>
  <si>
    <t>8.1.3</t>
  </si>
  <si>
    <t>Verify the application minimizes the number of parameters in a request, such as hidden fields, Ajax variables, cookies and header values.</t>
  </si>
  <si>
    <t>// ProductController.cs - Example of good practice with minimal parameters
[HttpGet("{id}")]
public IActionResult GetProduct(int id)
{
    var product = _unitOfWork.Product.Get(p =&gt; p.Id == id &amp;&amp; !p.IsDeleted, "Composites.SubProduct");
    // ...
}</t>
  </si>
  <si>
    <t>The application generally uses concise models for data transfer, with controllers accepting minimal parameters where possible. However, there's no consistent strategy to minimize parameters across all endpoints. Some endpoints may include more parameters than necessary, and there's no apparent review process to ensure minimal data transfer. The codebase would benefit from standardizing on concise parameter patterns</t>
  </si>
  <si>
    <t>DTOs (Data Transfer Objects) consistently to control parameter exposure. Use custom model binders or JsonIgnore attributes to limit serialized parameters. Tools like Swagger/OpenAPI can document and analyze API surface exposure</t>
  </si>
  <si>
    <t>8.1.4</t>
  </si>
  <si>
    <t>Verify the application can detect and alert on abnormal numbers of requests, such as by IP, user, total per hour or day, or whatever makes sense for the application.</t>
  </si>
  <si>
    <t>8.1.5</t>
  </si>
  <si>
    <t>Verify that regular backups of important data are performed and that test restoration of data is performed.</t>
  </si>
  <si>
    <t>8.1.6</t>
  </si>
  <si>
    <t>Verify that backups are stored securely to prevent data from being stolen or corrupted.</t>
  </si>
  <si>
    <t>The application doesn't implement any backup security measures. There's no encryption for backup data, no access controls specific to backups, and no integrity validation for backup files. Security considerations for backup storage are entirely absent from the codebase</t>
  </si>
  <si>
    <t>Encryption for backups using libraries like Azure Storage Client with encryption, or BouncyCastle for custom encryption. Use secure storage services like Azure Blob Storage with access policies. For validation, tools like Azure Security Center or custom security auditing scripts could verify backup security</t>
  </si>
  <si>
    <t>Client-side Data Protection</t>
  </si>
  <si>
    <t>8.2.1</t>
  </si>
  <si>
    <t>Verify the application sets sufficient anti-caching headers so that sensitive data is not cached in modern browsers.</t>
  </si>
  <si>
    <t>8.2.2</t>
  </si>
  <si>
    <t xml:space="preserve"> Verify that data stored in browser storage (such as localStorage, sessionStorage, IndexedDB, or cookies) does not contain sensitive data.</t>
  </si>
  <si>
    <t>// amap-ui/src/pages/LoginSignUp.js lines 26-32
localStorage.setItem('userType', role);
localStorage.setItem('userId', userId);</t>
  </si>
  <si>
    <t>The application stores user identifiers in localStorage, which is not secure for sensitive data. User IDs could be considered sensitive as they can be used for identification. Additionally, there's no clear policy on what client-side storage can or cannot contain, and no encryption for any data stored in browser storage</t>
  </si>
  <si>
    <t>We could replace localStorage with sessionStorage for authentication tokens and implement cookie-based authentication with secure and HTTPOnly flags. For any client-side data persistence needs, encrypt sensitive data before storing. Use tools like OWASP ZAP or browser security extensions to audit client-side storage</t>
  </si>
  <si>
    <t>8.2.3</t>
  </si>
  <si>
    <t>Verify that authenticated data is cleared from client storage, such as the browser DOM, after the client or session is terminated.</t>
  </si>
  <si>
    <t>Sensitive Private Data</t>
  </si>
  <si>
    <t>8.3.1</t>
  </si>
  <si>
    <t>Verify that sensitive data is sent to the server in the HTTP message body or headers, and that query string parameters from any HTTP verb do not contain sensitive data.</t>
  </si>
  <si>
    <t>// AccountController.cs lines 30-37
[HttpPost("login")]
[AllowAnonymous]
public async Task&lt;IActionResult&gt; Login([FromBody] LoginViewModel loginViewModel)
{
    // Credentials passed in body, not URL
}</t>
  </si>
  <si>
    <t>For authentication, the application properly uses HTTP POST with body parameters rather than query strings. However, there's no consistent protection across all endpoints to prevent sensitive data in query strings. No specific validation exists to ensure all sensitive operations use body parameters instead of query parameters</t>
  </si>
  <si>
    <t>[FromBody] attribute consistently for all sensitive data transfers, implement API gateway filtering or middleware that rejects sensitive parameters in query strings. Tools like Fiddler or OWASP ZAP can analyze request patterns to identify sensitive data in query strings</t>
  </si>
  <si>
    <t>8.3.2</t>
  </si>
  <si>
    <t>Verify that users have a method to remove or export their data on demand.</t>
  </si>
  <si>
    <t>The application doesn't provide functionality for users to export or delete their personal data. There are no endpoints or services dedicated to data portability or account deletion. This is a significant gap for GDPR and other privacy regulation compliance</t>
  </si>
  <si>
    <t>Implement dedicated controllers/endpoints for data export (providing user data in machine-readable format) and account deletion. Create services that can gather all user-related data across tables. Test with tools like Postman collections that validate the completeness of exported data</t>
  </si>
  <si>
    <t>8.3.3</t>
  </si>
  <si>
    <t>Verify that users are provided clear language regarding collection and use of supplied personal information and that users have provided opt-in consent for the use of that data before it is used in any way.</t>
  </si>
  <si>
    <t>The application has no consent management system, privacy notifications, or opt-in mechanisms. There's no evidence of privacy policy presentation to users or consent tracking in the database. The application does not comply with modern privacy regulations that require explicit consent</t>
  </si>
  <si>
    <t>Consent management system with dedicated models for storing user consent. Create UI components for privacy notices and consent gathering. For validation, tools like Cookie Consent Management platforms or custom audit logs can track consent collection</t>
  </si>
  <si>
    <t>8.3.4</t>
  </si>
  <si>
    <t>Verify that all sensitive data created and processed by the application has been identified, and ensure that a policy is in place on how to deal with sensitive data. ([C8](https://owasp.org/www-project-proactive-controls/#div-numbering))</t>
  </si>
  <si>
    <t>The application lacks data classification, sensitivity tagging, or explicit policies on handling different types of data. There are no annotations or markers identifying which fields contain sensitive information, and no code-level enforcement of handling policies for different data sensitivity levels</t>
  </si>
  <si>
    <t>Data annotations or attributes that mark sensitive fields, create a data classification service that enforces handling policies based on classifications. Use static analysis tools like SonarQube with custom rules to detect potential mishandling of marked sensitive data</t>
  </si>
  <si>
    <t>8.3.5</t>
  </si>
  <si>
    <t>Verify accessing sensitive data is audited (without logging the sensitive data itself), if the data is collected under relevant data protection directives or where logging of access is required.</t>
  </si>
  <si>
    <t>The application has no comprehensive audit logging system for sensitive data access. There are no audit trails recording when sensitive information is viewed, modified, or deleted. Without this auditing, the application cannot detect or investigate potential data breaches or unauthorized access</t>
  </si>
  <si>
    <t>AuditTrail middleware or aspect-oriented programming approaches with PostSharp to automatically log access to sensitive controllers/actions. Use tools like Application Insights or Serilog with structured logging to create queryable audit trails</t>
  </si>
  <si>
    <t>8.3.6</t>
  </si>
  <si>
    <t>Verify that sensitive information contained in memory is overwritten as soon as it is no longer required to mitigate memory dumping attacks, using zeroes or random data.</t>
  </si>
  <si>
    <t>The application doesn't implement memory sanitization for sensitive data. There's no use of SecureString for storing passwords or encryption keys, and no explicit overwriting of memory containing sensitive data after use. This creates vulnerability to memory dump attacks</t>
  </si>
  <si>
    <t>SecureString for passwords and encryption keys, implement explicit memory clearing with Array.Clear() or Buffer.BlockCopy() to overwrite sensitive data when no longer needed. Tools like dotMemory can help detect sensitive data remnants in memory after operations complete</t>
  </si>
  <si>
    <t>8.3.7</t>
  </si>
  <si>
    <t>Verify that sensitive or private information that is required to be encrypted, is encrypted using approved algorithms that provide both confidentiality and integrity. ([C8](https://owasp.org/www-project-proactive-controls/#div-numbering))</t>
  </si>
  <si>
    <t>The application doesn't implement encryption for sensitive data at rest or in transit beyond HTTPS. Database connection strings have encryption explicitly disabled with "Encrypt=False". There's no use of cryptographic libraries for field-level encryption of sensitive data, leaving PII and other sensitive information vulnerable</t>
  </si>
  <si>
    <t>Data protection using ASP.NET Core Data Protection APIs, use EF Core value converters for transparent field-level encryption, and enable SQL Server Transparent Data Encryption. For validation, use tools like OWASP Dependency Check to verify cryptographic libraries and OWASP ZAP to test encrypted communications</t>
  </si>
  <si>
    <t>8.3.8</t>
  </si>
  <si>
    <t>Verify that sensitive personal information is subject to data retention classification, such that old or out of date data is deleted automatically, on a schedule, or as the situation requires.</t>
  </si>
  <si>
    <t>The application has no data retention policies or automatic purging of outdated personal information. There are no scheduled jobs to anonymize or delete old data, and no classification system to determine retention periods for different types of data. This creates compliance issues with privacy regulations that require limiting data retention</t>
  </si>
  <si>
    <t>Data retention service with scheduled jobs using Quartz.NET or Hangfire, create data classification attributes that specify retention periods, and develop purging or anonymization routines. Create audit reports using custom queries or Power BI to verify compliance with retention policies</t>
  </si>
  <si>
    <t xml:space="preserve">Client Communications Security </t>
  </si>
  <si>
    <t>9.1.1</t>
  </si>
  <si>
    <t>Verify that TLS is used for all client connectivity, and does not fall back to insecure or unencrypted communications. ([C8](https://owasp.org/www-project-proactive-controls/#div-numbering))</t>
  </si>
  <si>
    <t>// Program.cs line 131
app.UseHttpsRedirection();
// Program.cs lines 67-70 (Development environment configuration)
if (builder.Environment.IsDevelopment())
{
    options.Cookie.SecurePolicy = CookieSecurePolicy.None; // Permitir HTTP
    options.Cookie.SameSite = SameSiteMode.None; // Permitir cross-origin
}
// Program.cs lines 99-101 (Session cookie configuration)
options.Cookie.HttpOnly = true;
options.Cookie.IsEssential = true;
options.Cookie.SecurePolicy = CookieSecurePolicy.None; // Permitir envio em HTTP</t>
  </si>
  <si>
    <t>The application implements HTTPS redirection but has critical flaws that allow fallback to insecure communications. While web traffic uses HTTPS through UseHttpsRedirection(), the session cookie settings explicitly allow insecure transport with SecurePolicy=None. Development environment settings disable secure cookies, but there's no guarantee these won't be carried into production. Additionally, there's no HTTP Strict Transport Security (HSTS) implementation to prevent downgrade attacks. The application requires a consistent security policy that enforces encrypted communications across all client connectivity without exceptions</t>
  </si>
  <si>
    <t>ASP.NET Core's HSTS middleware with app.UseHsts() in Program.cs for production environments. Set all cookies to require HTTPS with SecurePolicy=Always. Use Qualys SSL Labs or OWASP ZAP to test for TLS implementation issues and potential downgrade vulnerabilities. Configure Content-Security-Policy headers to enforce HTTPS for all resources. For comprehensive inspection, tools like Burp Suite can verify that all client communications remain encrypted without fallback options</t>
  </si>
  <si>
    <t>9.1.2</t>
  </si>
  <si>
    <t>Verify using up to date TLS testing tools that only strong cipher suites are enabled, with the strongest cipher suites set as preferred.</t>
  </si>
  <si>
    <t>9.1.3</t>
  </si>
  <si>
    <t>Verify that only the latest recommended versions of the TLS protocol are enabled, such as TLS 1.2 and TLS 1.3. The latest version of the TLS protocol should be the preferred option.</t>
  </si>
  <si>
    <t xml:space="preserve">Server Communication Security </t>
  </si>
  <si>
    <t>9.2.1</t>
  </si>
  <si>
    <t>Verify that connections to and from the server use trusted TLS certificates. Where internally generated or self-signed certificates are used, the server must be configured to only trust specific internal CAs and specific self-signed certificates. All others should be rejected.</t>
  </si>
  <si>
    <t>X509Certificate2 validation can be implemented with custom validation callbacks in HttpClientHandler. For server certificates, we could use ASP.NET Core's certificate configuration in Program.cs. Certificate validation can be tested with tools like OpenSSL or specialized security scanners like Burp Suite.</t>
  </si>
  <si>
    <t>9.2.2</t>
  </si>
  <si>
    <t>Verify that encrypted communications such as TLS is used for all inbound and outbound connections, including for management ports, monitoring, authentication, API, or web service calls, database, cloud, serverless, mainframe, external, and partner connections. The server must not fall back to insecure or unencrypted protocols.</t>
  </si>
  <si>
    <t>// Program.cs line 131
app.UseHttpsRedirection();
// Connection String in appsettings.json line 28
"DefaultConnection": "Data Source=DIOGO\\SQLEXPRESS;Initial Catalog=AMAP_DB;Integrated Security=True;Encrypt=False;"
// EmailSender.cs line 36
EnableSsl = true</t>
  </si>
  <si>
    <t>The application has inconsistent encryption across different connections. While HTTPS is enforced for web traffic through UseHttpsRedirection() and email communication uses EnableSsl=true, database connections explicitly disable encryption with Encrypt=False. All connections should use encryption, including database connections, to ensure comprehensive security</t>
  </si>
  <si>
    <t>SQL Server connection strings with Encrypt=True, ensure HTTPS for all outbound HttpClient calls, and configure TLS for all service connections. OWASP ZAP or Burp Suite can scan for unencrypted connections</t>
  </si>
  <si>
    <t>9.2.3</t>
  </si>
  <si>
    <t>Verify that all encrypted connections to external systems that involve sensitive information or functions are authenticated.</t>
  </si>
  <si>
    <t>// EmailSender.cs lines 35-36
Credentials = new NetworkCredential(_username, _password),
EnableSsl = true
// Program.cs line 34
builder.Services.AddIdentity&lt;AppUser, IdentityRole&gt;()
    .AddEntityFrameworkStores&lt;AppDbContext&gt;()
    .AddDefaultTokenProviders();</t>
  </si>
  <si>
    <t>Basic authentication is implemented for some external connections. Email service uses credential-based authentication with SSL, and API endpoints are secured with ASP.NET Identity. However, there's no comprehensive authentication strategy for all external services, no client certificate authentication, and no API key validation for third-party services</t>
  </si>
  <si>
    <t>mutual TLS (mTLS) authentication, OAuth 2.0 for API authentication, and credential management tools like Azure Key Vault or AWS Secrets Manager for secure credential storage</t>
  </si>
  <si>
    <t>9.2.4</t>
  </si>
  <si>
    <t>Verify that proper certification revocation, such as Online Certificate Status Protocol (OCSP) Stapling, is enabled and configured.</t>
  </si>
  <si>
    <t>The application has no certificate revocation checking mechanisms. It doesn't implement or configure OCSP Stapling, CRL checking, or any method to verify that certificates haven't been revoked. This is a significant security gap that could allow connections with compromised certificates</t>
  </si>
  <si>
    <t>For ASP.NET Core, we could configure HttpClientHandler with CheckCertificateRevocationList=true for outbound connections. For server configuration, implement OCSP Stapling in Kestrel or IIS. OpenSSL can be used to test certificate revocation status</t>
  </si>
  <si>
    <t>9.2.5</t>
  </si>
  <si>
    <t>Verify that backend TLS connection failures are logged.</t>
  </si>
  <si>
    <t>Code Integrity</t>
  </si>
  <si>
    <t>10.1.1</t>
  </si>
  <si>
    <t>Verify that a code analysis tool is in use that can detect potentially malicious code, such as time functions, unsafe file operations and network connections.</t>
  </si>
  <si>
    <t>Malicious Code Search</t>
  </si>
  <si>
    <t>10.2.1</t>
  </si>
  <si>
    <t>Verify that the application source code and third party libraries do not contain unauthorized phone home or data collection capabilities. Where such functionality exists, obtain the user's permission for it to operate  before collecting any data.</t>
  </si>
  <si>
    <t>10.2.2</t>
  </si>
  <si>
    <t>Verify that the application does not ask for unnecessary or excessive permissions to privacy related features or sensors, such as contacts, cameras, microphones, or location.</t>
  </si>
  <si>
    <t>10.2.3</t>
  </si>
  <si>
    <t>Verify that the application source code and third party libraries do not contain back doors, such as hard-coded or additional undocumented accounts or keys, code obfuscation, undocumented binary blobs, rootkits, or anti-debugging, insecure debugging features, or otherwise out of date, insecure, or hidden functionality that could be used maliciously if discovered.</t>
  </si>
  <si>
    <t>10.2.4</t>
  </si>
  <si>
    <t>Verify that the application source code and third party libraries do not contain time bombs by searching for date and time related functions.</t>
  </si>
  <si>
    <t>10.2.5</t>
  </si>
  <si>
    <t>Verify that the application source code and third party libraries do not contain malicious code, such as salami attacks, logic bypasses, or logic bombs.</t>
  </si>
  <si>
    <t>10.2.6</t>
  </si>
  <si>
    <t>Verify that the application source code and third party libraries do not contain Easter eggs or any other potentially unwanted functionality.</t>
  </si>
  <si>
    <t>Application Integrity</t>
  </si>
  <si>
    <t>10.3.1</t>
  </si>
  <si>
    <t>Verify that if the application has a client or server auto-update feature, updates should be obtained over secure channels and digitally signed. The update code must validate the digital signature of the update before installing or executing the update.</t>
  </si>
  <si>
    <t>10.3.2</t>
  </si>
  <si>
    <t>Verify that the application employs integrity protections, such as code signing or subresource integrity. The application must not load or execute code from untrusted sources, such as loading includes, modules, plugins, code, or libraries from untrusted sources or the Internet.</t>
  </si>
  <si>
    <t>10.3.3</t>
  </si>
  <si>
    <t>Verify that the application has protection from subdomain takeovers if the application relies upon DNS entries or DNS subdomains, such as expired domain names, out of date DNS pointers or CNAMEs, expired projects at public source code repos, or transient cloud APIs, serverless functions, or storage buckets (autogen-bucket-id.cloud.example.com) or similar. Protections can include ensuring that DNS names used by applications are regularly checked for expiry or change.</t>
  </si>
  <si>
    <t>Business Logic Security Requirements</t>
  </si>
  <si>
    <t>11.1.1</t>
  </si>
  <si>
    <t>Verify that the application will only process business logic flows for the same user in sequential step order and without skipping steps.</t>
  </si>
  <si>
    <t>11.1.2</t>
  </si>
  <si>
    <t>Verify that the application will only process business logic flows with all steps being processed in realistic human time, i.e. transactions are not submitted too quickly.</t>
  </si>
  <si>
    <t>11.1.3</t>
  </si>
  <si>
    <t>Verify the application has appropriate limits for specific business actions or transactions which are correctly enforced on a per user basis.</t>
  </si>
  <si>
    <t>11.1.4</t>
  </si>
  <si>
    <t>Verify that the application has anti-automation controls to protect against excessive calls such as mass data exfiltration, business logic requests, file uploads or denial of service attacks.</t>
  </si>
  <si>
    <t>11.1.5</t>
  </si>
  <si>
    <t>Verify the application has business logic limits or validation to protect against likely business risks or threats, identified using threat modeling or similar methodologies.</t>
  </si>
  <si>
    <t>11.1.6</t>
  </si>
  <si>
    <t>Verify that the application does not suffer from "Time Of Check to Time Of Use" (TOCTOU) issues or other race conditions for sensitive operations.</t>
  </si>
  <si>
    <t>11.1.7</t>
  </si>
  <si>
    <t>Verify that the application monitors for unusual events or activity from a business logic perspective. For example, attempts to perform actions out of order or actions which a normal user would never attempt. ([C9](https://owasp.org/www-project-proactive-controls/#div-numbering))</t>
  </si>
  <si>
    <t>11.1.8</t>
  </si>
  <si>
    <t>Verify that the application has configurable alerting when automated attacks or unusual activity is detected.</t>
  </si>
  <si>
    <t xml:space="preserve">File Upload </t>
  </si>
  <si>
    <t>12.1.1</t>
  </si>
  <si>
    <t>Verify that the application will not accept large files that could fill up storage or cause a denial of service.</t>
  </si>
  <si>
    <t>12.1.2</t>
  </si>
  <si>
    <t xml:space="preserve">Verify that the application checks compressed files (e.g. zip, gz, docx, odt) against maximum allowed uncompressed size and against maximum number of files before uncompressing the file. </t>
  </si>
  <si>
    <t>12.1.3</t>
  </si>
  <si>
    <t>Verify that a file size quota and maximum number of files per user is enforced to ensure that a single user cannot fill up the storage with too many files, or excessively large files.</t>
  </si>
  <si>
    <t>File Integrity</t>
  </si>
  <si>
    <t>12.2.1</t>
  </si>
  <si>
    <t>Verify that files obtained from untrusted sources are validated to be of expected type based on the file's content.</t>
  </si>
  <si>
    <t>File Execution</t>
  </si>
  <si>
    <t>12.3.1</t>
  </si>
  <si>
    <t>Verify that user-submitted filename metadata is not used directly by system or framework filesystems and that a URL API is used to protect against path traversal.</t>
  </si>
  <si>
    <t>12.3.2</t>
  </si>
  <si>
    <t>Verify that user-submitted filename metadata is validated or ignored to prevent the disclosure, creation, updating or removal of local files (LFI).</t>
  </si>
  <si>
    <t>12.3.3</t>
  </si>
  <si>
    <t>Verify that user-submitted filename metadata is validated or ignored to prevent the disclosure or execution of remote files via Remote File Inclusion (RFI) or Server-side Request Forgery (SSRF) attacks.</t>
  </si>
  <si>
    <t>12.3.4</t>
  </si>
  <si>
    <t>Verify that the application protects against Reflective File Download (RFD) by validating or ignoring user-submitted filenames in a JSON, JSONP, or URL parameter, the response Content-Type header should be set to text/plain, and the Content-Disposition header should have a fixed filename.</t>
  </si>
  <si>
    <t>12.3.5</t>
  </si>
  <si>
    <t>Verify that untrusted file metadata is not used directly with system API or libraries, to protect against OS command injection.</t>
  </si>
  <si>
    <t>12.3.6</t>
  </si>
  <si>
    <t>Verify that the application does not include and execute functionality from untrusted sources, such as unverified content distribution networks, JavaScript libraries, node npm libraries, or server-side DLLs.</t>
  </si>
  <si>
    <t>File Storage</t>
  </si>
  <si>
    <t>12.4.1</t>
  </si>
  <si>
    <t>Verify that files obtained from untrusted sources are stored outside the web root, with limited permissions.</t>
  </si>
  <si>
    <t>12.4.2</t>
  </si>
  <si>
    <t>Verify that files obtained from untrusted sources are scanned by antivirus scanners to prevent upload and serving of known malicious content.</t>
  </si>
  <si>
    <t>File Download</t>
  </si>
  <si>
    <t>12.5.1</t>
  </si>
  <si>
    <t>Verify that the web tier is configured to serve only files with specific file extensions to prevent unintentional information and source code leakage. For example, backup files (e.g. .bak), temporary working files (e.g. .swp), compressed files (.zip, .tar.gz, etc) and other extensions commonly used by editors should be blocked unless required.</t>
  </si>
  <si>
    <t>12.5.2</t>
  </si>
  <si>
    <t>Verify that direct requests to uploaded files will never be executed as HTML/JavaScript content.</t>
  </si>
  <si>
    <t>SSRF Protection</t>
  </si>
  <si>
    <t>12.6.1</t>
  </si>
  <si>
    <t>Verify that the web or application server is configured with an allow list of resources or systems to which the server can send requests or load data/files from.</t>
  </si>
  <si>
    <t>Generic Web Service Security</t>
  </si>
  <si>
    <t>13.1.1</t>
  </si>
  <si>
    <t>Verify that all application components use the same encodings and parsers to avoid parsing attacks that exploit different URI or file parsing behavior that could be used in SSRF and RFI attacks.</t>
  </si>
  <si>
    <t>13.1.2</t>
  </si>
  <si>
    <t xml:space="preserve">[DELETED, DUPLICATE OF 4.3.1] </t>
  </si>
  <si>
    <t>13.1.3</t>
  </si>
  <si>
    <t>Verify API URLs do not expose sensitive information, such as the API key, session tokens etc.</t>
  </si>
  <si>
    <t>13.1.4</t>
  </si>
  <si>
    <t>Verify that authorization decisions are made at both the URI, enforced by programmatic or declarative security at the controller or router, and at the resource level, enforced by model-based permissions.</t>
  </si>
  <si>
    <t>13.1.5</t>
  </si>
  <si>
    <t>Verify that requests containing unexpected or missing content types are rejected with appropriate headers (HTTP response status 406 Unacceptable or 415 Unsupported Media Type).</t>
  </si>
  <si>
    <t>RESTful Web Service</t>
  </si>
  <si>
    <t>13.2.1</t>
  </si>
  <si>
    <t>Verify that enabled RESTful HTTP methods are a valid choice for the user or action, such as preventing normal users using DELETE or PUT on protected API or resources.</t>
  </si>
  <si>
    <t>13.2.2</t>
  </si>
  <si>
    <t>Verify that JSON schema validation is in place and verified before accepting input.</t>
  </si>
  <si>
    <t>13.2.3</t>
  </si>
  <si>
    <t>Verify that RESTful web services that utilize cookies are protected from Cross-Site Request Forgery via the use of at least one or more of the following: double submit cookie pattern, CSRF nonces, or Origin request header checks.</t>
  </si>
  <si>
    <t>13.2.4</t>
  </si>
  <si>
    <t>[DELETED, DUPLICATE OF 11.1.4]</t>
  </si>
  <si>
    <t>13.2.5</t>
  </si>
  <si>
    <t>Verify that REST services explicitly check the incoming Content-Type to be the expected one, such as application/xml or application/json.</t>
  </si>
  <si>
    <t>13.2.6</t>
  </si>
  <si>
    <t>Verify that the message headers and payload are trustworthy and not modified in transit. Requiring strong encryption for transport (TLS only) may be sufficient in many cases as it provides both confidentiality and integrity protection. Per-message digital signatures can provide additional assurance on top of the transport protections for high-security applications but bring with them additional complexity and risks to weigh against the benefits.</t>
  </si>
  <si>
    <t>SOAP Web Service</t>
  </si>
  <si>
    <t>13.3.1</t>
  </si>
  <si>
    <t>Verify that XSD schema validation takes place to ensure a properly formed XML document, followed by validation of each input field before any processing of that data takes place.</t>
  </si>
  <si>
    <t>13.3.2</t>
  </si>
  <si>
    <t>Verify that the message payload is signed using WS-Security to ensure reliable transport between client and service.</t>
  </si>
  <si>
    <t>GraphQL</t>
  </si>
  <si>
    <t>13.4.1</t>
  </si>
  <si>
    <t>Verify that a query allow list or a combination of depth limiting and amount limiting is used to prevent GraphQL or data layer expression Denial of Service (DoS) as a result of expensive, nested queries. For more advanced scenarios, query cost analysis should be used.</t>
  </si>
  <si>
    <t>13.4.2</t>
  </si>
  <si>
    <t>Verify that GraphQL or other data layer authorization logic should be implemented at the business logic layer instead of the GraphQL layer.</t>
  </si>
  <si>
    <t>Build and Deploy</t>
  </si>
  <si>
    <t>14.1.1</t>
  </si>
  <si>
    <t>Verify that the application build and deployment processes are performed in a secure and repeatable way, such as CI / CD automation, automated configuration management, and automated deployment scripts.</t>
  </si>
  <si>
    <t>14.1.2</t>
  </si>
  <si>
    <t>Verify that compiler flags are configured to enable all available buffer overflow protections and warnings, including stack randomization, data execution prevention, and to break the build if an unsafe pointer, memory, format string, integer, or string operations are found.</t>
  </si>
  <si>
    <t>14.1.3</t>
  </si>
  <si>
    <t>Verify that server configuration is hardened as per the recommendations of the application server and frameworks in use.</t>
  </si>
  <si>
    <t>14.1.4</t>
  </si>
  <si>
    <t>Verify that the application, configuration, and all dependencies can be re-deployed using automated deployment scripts, built from a documented and tested runbook in a reasonable time, or restored from backups in a timely fashion.</t>
  </si>
  <si>
    <t>14.1.5</t>
  </si>
  <si>
    <t>Verify that authorized administrators can verify the integrity of all security-relevant configurations to detect tampering.</t>
  </si>
  <si>
    <t>Dependency</t>
  </si>
  <si>
    <t>14.2.1</t>
  </si>
  <si>
    <t>Verify that all components are up to date, preferably using a dependency checker during build or compile time. ([C2](https://owasp.org/www-project-proactive-controls/#div-numbering))</t>
  </si>
  <si>
    <t>&lt;!-- AMAP.Api.csproj lines 10-24 (dependencies without version checking) --&gt;
&lt;ItemGroup&gt;
  &lt;PackageReference Include="Microsoft.AspNetCore.Authentication.JwtBearer" Version="9.0.4" /&gt;
  &lt;PackageReference Include="Microsoft.AspNetCore.Cors" Version="2.2.0" /&gt;
  &lt;PackageReference Include="Microsoft.AspNetCore.Identity.EntityFrameworkCore" Version="9.0.4" /&gt;
  &lt;PackageReference Include="Microsoft.EntityFrameworkCore" Version="9.0.4" /&gt;
  &lt;!-- Additional dependencies --&gt;
&lt;/ItemGroup&gt;</t>
  </si>
  <si>
    <t>The application uses NuGet packages with specific versions, but there's no automated dependency checking to ensure these are the latest secure versions. No dependency scanning tools are integrated into the build process to identify vulnerabilities in dependencies. While the current dependency versions appear recent, there's no systematic process to keep them updated</t>
  </si>
  <si>
    <t>OWASP Dependency-Check, Snyk, or WhiteSource into the CI/CD pipeline. Configure dependabot for GitHub repositories to automatically suggest dependency updates. Use Visual Studio's built-in security vulnerability detection or NuGet Package Explorer to audit dependencies</t>
  </si>
  <si>
    <t>14.2.2</t>
  </si>
  <si>
    <t xml:space="preserve"> Verify that all unneeded features, documentation, sample applications and configurations are removed.</t>
  </si>
  <si>
    <t>The application contains commented-out code, unused authentication configuration, and potentially unnecessary dependencies. There's no evidence of a clean production build process that removes development artifacts. The presence of Swagger in production depends on the environment variable, but there's no systematic removal of other development features</t>
  </si>
  <si>
    <t>Build profiles that strip out debugging information and development dependencies. Use .gitignore to prevent committing development artifacts. Create deployment scripts that generate clean production builds. For validation, scan production deployments with security tools to detect unnecessary components</t>
  </si>
  <si>
    <t>14.2.3</t>
  </si>
  <si>
    <t>Verify that if application assets, such as JavaScript libraries, CSS stylesheets or web fonts, are hosted externally on a content delivery network (CDN) or external provider, Subresource Integrity (SRI) is used to validate the integrity of the asset.</t>
  </si>
  <si>
    <t>14.2.4</t>
  </si>
  <si>
    <t>Verify that third party components come from pre-defined, trusted and continually maintained repositories. ([C2](https://owasp.org/www-project-proactive-controls/#div-numbering))</t>
  </si>
  <si>
    <t>&lt;!-- AMAP.Api.csproj lines 10-24 (standard NuGet packages) --&gt;
&lt;ItemGroup&gt;
  &lt;PackageReference Include="Microsoft.AspNetCore.Authentication.JwtBearer" Version="9.0.4" /&gt;
  &lt;!-- Other standard packages --&gt;
&lt;/ItemGroup&gt;</t>
  </si>
  <si>
    <t>NuGet.config file that specifies trusted package sources. Implement package signature verification with NuGet trusted signers. For non-.NET dependencies, use tools like npm audit or Yarn's integrity checking. Validate with dependency governance tools like WhiteSource</t>
  </si>
  <si>
    <t>14.2.5</t>
  </si>
  <si>
    <t>Verify that a Software Bill of Materials (SBOM) is maintained of all third party libraries in use. ([C2](https://owasp.org/www-project-proactive-controls/#div-numbering))</t>
  </si>
  <si>
    <t>14.2.6</t>
  </si>
  <si>
    <t>Verify that the attack surface is reduced by sandboxing or encapsulating third party libraries to expose only the required behaviour into the application. ([C2](https://owasp.org/www-project-proactive-controls/#div-numbering))</t>
  </si>
  <si>
    <t>Unintended Security Disclosure</t>
  </si>
  <si>
    <t>14.3.1</t>
  </si>
  <si>
    <t xml:space="preserve">[DELETED, DUPLICATE OF 7.4.1] </t>
  </si>
  <si>
    <t>14.3.2</t>
  </si>
  <si>
    <t>Verify that web or application server and application framework debug modes are disabled in production to eliminate debug features, developer consoles, and unintended security disclosures.</t>
  </si>
  <si>
    <t>// Program.cs lines 126-130
if (app.Environment.IsDevelopment())
{
    app.UseSwagger();
    app.UseSwaggerUI();
}</t>
  </si>
  <si>
    <t>The application correctly configures debug features to be available only in the development environment. Swagger UI, which could expose sensitive API information, is only enabled in development mode. The environment-based configuration is properly implemented, preventing debug information disclosure in production</t>
  </si>
  <si>
    <t>We should continue using environment-based configuration with IsDevelopment() checks. Consider additional preprocessor directives for debug code. For validation, use penetration testing tools like OWASP ZAP to verify that development features aren't accessible in production</t>
  </si>
  <si>
    <t>14.3.3</t>
  </si>
  <si>
    <t>Verify that the HTTP headers or any part of the HTTP response do not expose detailed version information of system components.</t>
  </si>
  <si>
    <t>HTTP Security Headers</t>
  </si>
  <si>
    <t>14.4.1</t>
  </si>
  <si>
    <t>Verify that every HTTP response contains a Content-Type header. Also specify a safe character set (e.g., UTF-8, ISO-8859-1) if the content types are text/*, /+xml and application/xml. Content must match with the provided Content-Type header.</t>
  </si>
  <si>
    <t>// ProductController.cs lines 28-41 (implicit Content-Type)
[HttpGet("{id}")]
public IActionResult GetProduct(int id)
{
    // ...
    return Ok(new
    {
        product.Id,
        product.Name,
        // ...
    });
}</t>
  </si>
  <si>
    <t>The application implicitly sets Content-Type headers through ASP.NET Core's content negotiation and response formatting. Controllers return IActionResult types that typically resolve to JSON with appropriate Content-Type headers. However, there's no explicit policy enforcing Content-Type headers for all responses, and no verification that text/* responses include character set specifications</t>
  </si>
  <si>
    <t>Response formatting middleware that ensures appropriate Content-Type headers with character sets. Use content negotiation options in ASP.NET Core to enforce consistent formatting. Validate with HTTP analyzers or tools like Fiddler that can inspect response headers</t>
  </si>
  <si>
    <t>14.4.2</t>
  </si>
  <si>
    <t>Verify that all API responses contain Content-Disposition: attachment; filename="api.json" header (or other appropriate filename for the content type).</t>
  </si>
  <si>
    <t>The application doesn't set Content-Disposition headers for API responses. There's no middleware or filter that adds these headers automatically, and no controller actions explicitly set them. This omission could potentially allow API responses to be rendered inline in a browser context, facilitating certain types of attacks</t>
  </si>
  <si>
    <t>Global filter or middleware that adds Content-Disposition headers to API responses. Use FileResult with FileDownloadName for file downloads. Validate with tools that can inspect HTTP headers such as browser developer tools or Fiddler</t>
  </si>
  <si>
    <t>14.4.3</t>
  </si>
  <si>
    <t>Verify that a Content Security Policy (CSP) response header is in place that helps mitigate impact for XSS attacks like HTML, DOM, JSON, and JavaScript injection vulnerabilities.</t>
  </si>
  <si>
    <t>The application doesn't implement Content Security Policy headers. There's no middleware configuration for CSP, no policy definition in the code, and no headers that would mitigate XSS attacks. This significant security gap leaves the application vulnerable to various injection attacks</t>
  </si>
  <si>
    <t>NWebsec middleware for ASP.NET Core to add CSP headers. Configure a strict CSP policy that limits script sources, style sources, and other resources. Validate with securityheaders.com or Mozilla Observatory to test CSP effectiveness</t>
  </si>
  <si>
    <t>14.4.4</t>
  </si>
  <si>
    <t>Verify that all responses contain a X-Content-Type-Options: nosniff header.</t>
  </si>
  <si>
    <t>The application doesn't set the X-Content-Type-Options header. There's no security headers middleware, no global filter adding this header, and no server configuration enforcing it. This omission could allow MIME-type sniffing attacks in certain browsers</t>
  </si>
  <si>
    <t>UseSecurityHeaders() middleware with X-Content-Type-Options configuration. Use NWebsec or custom header middleware. Validate with securityheaders.com or similar tools that scan response headers</t>
  </si>
  <si>
    <t>14.4.5</t>
  </si>
  <si>
    <t>Verify that a Strict-Transport-Security header is included on all responses and for all subdomains, such as Strict-Transport-Security: max-age=15724800; includeSubdomains.</t>
  </si>
  <si>
    <t>// Program.cs line 131 (HTTPS redirection without HSTS)
app.UseHttpsRedirection();</t>
  </si>
  <si>
    <t>The application enforces HTTPS through redirection but doesn't implement HTTP Strict Transport Security. While HTTPS redirection provides some protection, the absence of HSTS headers means that initial connections could still be vulnerable to downgrade attacks. There's no configuration for max-age or includeSubdomains flags</t>
  </si>
  <si>
    <t>app.UseHsts() to Program.cs with appropriate configuration for production environments. Configure with a sufficient max-age and includeSubdomains flag. Validate with securityheaders.com or similar HTTP header scanning tools</t>
  </si>
  <si>
    <t>14.4.6</t>
  </si>
  <si>
    <t>Verify that a suitable Referrer-Policy header is included to avoid exposing sensitive information in the URL through the Referer header to untrusted parties.</t>
  </si>
  <si>
    <t>The application doesn't set a Referrer-Policy header. There's no configuration for controlling how much referrer information is included in requests, potentially leaking sensitive information in URLs when users navigate to external sites from the application</t>
  </si>
  <si>
    <t>Referrer-Policy headers through NWebsec middleware or custom header configuration. Use strict policies like "same-origin" or "strict-origin-when-cross-origin". Validate with securityheaders.com or manual header inspection</t>
  </si>
  <si>
    <t>14.4.7</t>
  </si>
  <si>
    <t>Verify that the content of a web application cannot be embedded in a third-party site by default and that embedding of the exact resources is only allowed where necessary by using suitable Content-Security-Policy: frame-ancestors and X-Frame-Options response headers.</t>
  </si>
  <si>
    <t>The application doesn't implement X-Frame-Options or Content-Security-Policy: frame-ancestors headers. There's no protection against clickjacking through iframe embedding, allowing potential attackers to frame the application in malicious contexts</t>
  </si>
  <si>
    <t>X-Frame-Options: SAMEORIGIN or CSP frame-ancestors directive through NWebsec middleware or custom security headers. Validate with securityheaders.com or browser developer tools that attempt to frame the application</t>
  </si>
  <si>
    <t>HTTP Request Header Validation</t>
  </si>
  <si>
    <t>14.5.1</t>
  </si>
  <si>
    <t>Verify that the application server only accepts the HTTP methods in use by the application/API, including pre-flight OPTIONS, and logs/alerts on any requests that are not valid for the application context.</t>
  </si>
  <si>
    <t>14.5.2</t>
  </si>
  <si>
    <t>Verify that the supplied Origin header is not used for authentication or access control decisions, as the Origin header can easily be changed by an attacker.</t>
  </si>
  <si>
    <t>// Program.cs lines 14-22 (CORS configuration)
options.AddPolicy("AllowFrontend", policy =&gt;
{
    policy.WithOrigins("https://localhost:3000")
          .AllowAnyMethod()
          .AllowAnyHeader()
          .AllowCredentials();
});</t>
  </si>
  <si>
    <t>The application correctly uses CORS policy for controlling cross-origin requests but doesn't rely on the Origin header for authentication or access control decisions. Authorization is properly based on identity and role claims, not origin headers which could be spoofed. This is a good security practice</t>
  </si>
  <si>
    <t>ASP.NET Core's built-in authentication and authorization mechanisms. For validation, use penetration testing tools that attempt to spoof Origin headers to bypass security controls</t>
  </si>
  <si>
    <t>14.5.3</t>
  </si>
  <si>
    <t>Verify that the Cross-Origin Resource Sharing (CORS) Access-Control-Allow-Origin header uses a strict allow list of trusted domains and subdomains to match against and does not support the "null" origin.</t>
  </si>
  <si>
    <t>// Program.cs lines 14-22 (CORS with strict origin)
options.AddPolicy("AllowFrontend", policy =&gt;
{
    policy.WithOrigins("https://localhost:3000") // URL do frontend
          .AllowAnyMethod()
          .AllowAnyHeader()
          .AllowCredentials();
});</t>
  </si>
  <si>
    <t>The application correctly implements CORS with a specific allowed origin rather than a wildcard. The policy explicitly allows only https://localhost:3000 as an origin, which is a good security practice for development. The code doesn't allow the "null" origin, which is also positive. For production, this would need to be updated with the actual frontend domain</t>
  </si>
  <si>
    <t>ASP.NET Core's built-in CORS middleware with explicit origins. For production, use environment-specific configurations. Validate with cross-origin request tests or tools like CORS-Scanner to verify policy enforcement</t>
  </si>
  <si>
    <t>14.5.4</t>
  </si>
  <si>
    <t>Verify that HTTP headers added by a trusted proxy or SSO devices, such as a bearer token, are authenticated by the application.</t>
  </si>
  <si>
    <t>ASP.NET Core Authorization attributes with role-based policies.</t>
  </si>
  <si>
    <t>ASP.NET Core HTTPS redirection middleware and secure cookie configuration.</t>
  </si>
  <si>
    <t>ASP.NET Core with minimal necessary permissions</t>
  </si>
  <si>
    <t>NuGet package system and .NET dependency management</t>
  </si>
  <si>
    <t>Although the application implements some basic business logic validation (such as preventing duplicate product names), there is no evidence of comprehensive threat modeling or systematic protection against likely business risks. The validations appear to be ad-hoc rather than the result of a formal threat modeling process.</t>
  </si>
  <si>
    <t>ASP.NET Core Identity Framework - This is the authentication framework being used, which handles password validation through its configuration options and validators.</t>
  </si>
  <si>
    <t>Allowing any printable Unicode character in passwords (including spaces and emojis) increases the available character space, making passwords stronger against brute-force attacks. This is particularly relevant considering the high-risk threats identified related to authentication and identity spoofing (threats #2, #7, #9, #10 in the DREAD list), such as "Identity spoofing to gain unauthorized access" and "Identity spoofing to bypass authentication.</t>
  </si>
  <si>
    <t>Password validation library that supports full Unicode
Modern authentication framework (ASP.NET Identity)</t>
  </si>
  <si>
    <t xml:space="preserve">Establishing a minimum password length of 12 characters is crucial to mitigate authentication-related threats, such as those identified with high severity in the DREAD analysis (#2, #7, #9, #10). Longer passwords significantly increase resistance against brute-force and dictionary attacks. This measure helps protect against "Identity spoofing to gain unauthorized access" and "Credential interception during transmission," which are critical threats in the AMAP system, especially considering access by different types of users (Managers, Producers, Co-Producers).
</t>
  </si>
  <si>
    <t>Password validation libraries such as zxcvbn
Password policy configuration in authentication frameworks
Password strength validators on both frontend and backend</t>
  </si>
  <si>
    <t>Allowing long passwords (up to 64 characters) while capping the maximum at 128 characters balances security and protection against DoS attacks. Longer passwords strengthen security against high-severity authentication-related threats identified in the DREAD analysis, such as "Identity spoofing to gain unauthorized access" (#7) and "Identity spoofing to bypass authentication" (#9). The upper limit of 128 characters protects against potential denial-of-service attacks based on extremely long passwords that could overwhelm the hashing process.</t>
  </si>
  <si>
    <t>Avoiding password truncation is essential to preserve the password’s entropy and strength as intended by the user. This practice prevents vulnerabilities related to various high-severity authentication threats identified in the DREAD analysis, such as "Identity spoofing to gain unauthorized access" (#7) and "Modification of credentials or tokens during transmission" (#8). Normalizing consecutive spaces into a single space is an acceptable compromise that avoids usability issues without significantly compromising security. Implementing this requirement is critical to protecting the accounts of all user profiles in the AMAP system (Managers, Producers, Co-Producers).</t>
  </si>
  <si>
    <t>Allowing users to change their passwords is a fundamental security feature that mitigates several threats identified in the DREAD analysis. This capability is crucial in the event of credential compromise, directly relating to high-severity threats such as "Credential interception during transmission" (#10) and "Identity spoofing to gain unauthorized access" (#7). All user types in the AMAP system (Managers, Producers, and Co-Producers) should have this capability to maintain control over their accounts, especially considering the sensitive nature of financial and payment information managed on the platform.</t>
  </si>
  <si>
    <t>Requiring the current password during the password change process is a critical security measure that prevents unauthorized changes in case a session is compromised. This practice protects against several high-severity threats identified in the DREAD analysis, particularly "Privilege escalation from Co-Producer to Producer/Manager" (#18) and "Identity spoofing to gain unauthorized access" (#7). For the AMAP system, where different user profiles have access to different functionalities and sensitive data, this two-step verification is essential to ensure that only the legitimate user can change their password, even if an attacker gains temporary access to the authenticated session.</t>
  </si>
  <si>
    <t>OWASP Threat Dragon - DFDs diagrams</t>
  </si>
  <si>
    <t>Verifying passwords against sets of compromised passwords is a crucial measure to protect against high-severity authentication threats identified in the DREAD analysis. This practice prevents the use of already leaked credentials, significantly reducing the risk of credential stuffing and brute-force attacks related to threats #7 "Identity spoofing to gain unauthorized access" and #9 "Identity spoofing to bypass authentication." For AMAP, where financial transactions and sensitive data from producers and consumers are involved, ensuring that passwords are not compromised is particularly important to protect against attacks that could lead to financial fraud or manipulation of offers.</t>
  </si>
  <si>
    <t>ASP.NET Core Identity for authentication management and password policies
Have I Been Pwned (HIBP) service with k-anonymity implementation
Local libraries for checking compromised passwords
Zxcvbn or similar libraries for password strength evaluation
Password verification APIs with zero-knowledge proof</t>
  </si>
  <si>
    <t>Password change forms with current password validation
Protection against brute force attacks on these interfaces
Password change attempt logs for detecting suspicious activities
ASP.NET Core Identity for authentication management and password policies</t>
  </si>
  <si>
    <t>Password change functionality in the user interface
Workflows to verify the current password before changing
Email notifications for password changes to alert users about unauthorized changes
ASP.NET Core Identity for authentication management and password policies</t>
  </si>
  <si>
    <t>Modern hashing algorithms that support long passwords (Argon2, bcrypt)
Proper string processing for space normalization
Automated tests to verify the correct behavior of the authentication system
ASP.NET Core Identity for authentication management and password policies</t>
  </si>
  <si>
    <t>Implementing a password strength meter provides immediate visual feedback to users, encouraging the creation of stronger and more diverse passwords. This interface feature helps mitigate authentication-related threats identified in the DREAD analysis, such as "Identity spoofing to gain unauthorized access" (#7) and "Identity spoofing to bypass authentication" (#9). For the AMAP system, where different profiles (Managers, Producers, Co-Producers) have access to critical functionalities and sensitive financial data, guiding users in creating strong passwords is essential for the overall security of the platform.</t>
  </si>
  <si>
    <t xml:space="preserve">ASP.NET Core Identity for password policies and validation
Zxcvbn library for realistic password strength evaluation
UI components for password strength meters
Real-time feedback with password improvement suggestions
</t>
  </si>
  <si>
    <t>Avoiding strict password composition rules favors longer and more memorable passwords over complex but short ones, aligning with modern security recommendations from NIST SP 800-63B. This approach helps prevent counterproductive behaviors such as writing down passwords or using predictable patterns. Considering the high-severity authentication-related threats in the DREAD analysis (such as #7 "Identity spoofing to gain unauthorized access" and #9 "Identity spoofing to bypass authentication"), the focus should be on the total entropy of the password, which is better achieved with increased length rather than arbitrary complexity rules. For AMAP, this policy enhances both the security and usability of the system.</t>
  </si>
  <si>
    <t>Authentication frameworks (like ASP.NET Core Identity) configured to verify only the minimum length
Password strength meters based on real entropy (such as zxcvbn)
Password policies aligned with NIST recommendations</t>
  </si>
  <si>
    <t>The absence of mandatory periodic password rotation aligns with modern security guidelines (NIST SP 800-63B), which recognize that this practice often leads to risky behaviors such as sequential passwords or password writing. For the AMAP system, it is more effective to focus on detecting compromise (such as anomalous authentication) and provide mechanisms for changing passwords when necessary, rather than forcing arbitrary changes. This approach helps reduce threats identified in the DREAD analysis, such as "Identity spoofing to gain unauthorized access" (#7), without introducing practices that may lower overall security by encouraging weaker or more predictable passwords by users.</t>
  </si>
  <si>
    <t>Anomalous authentication detection systems
Login notifications for new devices/locations
Option for users to voluntarily change their passwords using ASP.NET Core Identity</t>
  </si>
  <si>
    <t>Allowing the ability to paste passwords, browser password helpers, and external password managers is crucial to promote the use of strong and unique passwords. This practice aligns with modern security recommendations (NIST SP 800-63B) and mitigates various high-severity authentication threats identified in the DREAD analysis, such as "Identity spoofing to gain unauthorized access" (#7) and "Credential interception during transmission" (#10). For the AMAP system, with different types of users (Managers, Producers, Co-Producers) who need to keep credentials secure, enabling password manager usage encourages positive security behaviors, reducing the risk of password reuse and weak passwords.</t>
  </si>
  <si>
    <t>Proper configuration of password fields that do not block the "paste" functionality
Support for browser autofill APIs
Compatibility with popular password managers, alongside ASP.NET Core Identity</t>
  </si>
  <si>
    <t>Allowing temporary password visibility during typing strikes a balance between security and usability. This feature reduces input errors and user frustration while maintaining protection against onlookers ("shoulder surfing"). For AMAP, where different user profiles (Managers, Producers, Co-Producers) access the platform from various environments, this feature is important to avoid unnecessary account lockouts and reduce the tendency to create simple passwords out of fear of typing mistakes. This feature does not significantly compromise security when implemented correctly (temporary visibility, user-activated) and helps balance usability with protections against threats such as "Identity spoofing" (#2, #7, #9).</t>
  </si>
  <si>
    <t>Modern UI components for password fields with visibility toggle
Implementing a timeout to automatically hide the password after brief exposure
Visual feedback for the last typed character, in combination with ASP.NET Core Identity</t>
  </si>
  <si>
    <t>Anti-automation controls are essential to protect against multiple high-severity threats identified in the DREAD analysis, particularly "Identity spoofing to gain unauthorized access" (#7) and "Identity spoofing to bypass authentication" (#9). For AMAP, where unauthorized access could lead to manipulation of listings, identity spoofing of producers or managers, and access to sensitive financial information, implementing defense-in-depth against automated attacks is critical. The combination of different techniques (rate limiting, increasing delays, CAPTCHA, temporary account lockouts) creates multiple barriers against brute force attacks without compromising system availability for legitimate users.</t>
  </si>
  <si>
    <t>ASP.NET Core Identity (for account lockout and multi-factor authentication)
Brute force protection frameworks (like Fail2Ban)
CAPTCHA/reCAPTCHA services
Anomaly behavior detection systems
Rate limiting libraries
IP reputation systems
Monitoring and alerting for suspicious login attempts</t>
  </si>
  <si>
    <t>Limiting weak authenticators (SMS/email) to secondary verifications is crucial for AMAP, considering the high-severity threats identified in the DREAD analysis. This practice protects against "Manager identity spoofing" (#2), "Identity spoofing to gain unauthorized access" (#7), and "Spoofing of AMAP’s email system" (#27). For sensitive operations such as approving financial transactions, creating listings, and managing products, stronger authenticators should be the primary option. This approach is particularly important given AMAP’s system, where different access levels (Managers, Producers, CoProducers) handle sensitive financial and transactional information.</t>
  </si>
  <si>
    <t>ASP.NET Core Identity (for multi-factor authentication, including TOTP, WebAuthn)
Risk analysis systems to determine when additional verification is required
User education on risks associated with different authentication methods
Authentication frameworks supporting multiple factors with varying levels of security</t>
  </si>
  <si>
    <t>Secure notifications about changes to authentication details are essential for AMAP, considering several high-severity threats identified in the DREAD analysis, such as "Unauthorized change of payment information" (#17) and "Privilege escalation from CoProducer to Producer/Manager" (#18). For a system that manages financial information and transactions, alerting users about changes to their accounts allows for quick detection of compromise. A preference for push notifications over SMS/email enhances security, but any notification without sensitive data is better than none. This measure also helps mitigate risks related to "Denial of having made a subscription or payment" (#1) by creating visible audit trails for the user.</t>
  </si>
  <si>
    <t>ASP.NET Core Identity (for event-driven notifications when authentication details are changed)
Secure push notification services
Anomaly login detection systems
Email/SMS templates without sensitive information
Logs of sent notifications as part of the audit trail</t>
  </si>
  <si>
    <t>FIDO2/WebAuthn authenticators (e.g., YubiKeys, Windows Hello)
Authentication apps with intent verification (e.g., push to approve)
Public Key Infrastructure (PKI) for client certificates
Authentication frameworks supporting AAL2/AAL3 level authenticators
ASP.NET Core Identity Framework for managing user authentication and integrating with phishing-resistant authenticators</t>
  </si>
  <si>
    <t>Resistance to impersonation is critical for AMAP, given the multiple high-severity threats related to identity forgery identified in the DREAD analysis: "Impersonation of a Manager" (#2), "Impersonation for unauthorized access" (#7), "Impersonation of a Producer" (#26). For a system that manages financial transactions and allows managers and producers to create offers and manage resources, implementing phishing-resistant authenticators such as physical keys (FIDO2/WebAuthn) or app-based MFA is essential to prevent the compromise of high-privilege accounts. These mechanisms are particularly important for protecting the accounts of Managers and Producers who have extensive privileges in the system.</t>
  </si>
  <si>
    <t>Mutual TLS authentication between the Credential Service Provider (CSP) and the AMAP application is essential to prevent several high-severity threats identified in the DREAD analysis, particularly "Modification of credentials or tokens during transmission" (#8) and "Interception of credentials during transmission" (#10). For a system like AMAP, which handles different access levels and sensitive financial information, ensuring secure and authenticated communication between distributed authentication components is critical. Mutual TLS (mTLS) verifies the identity of both endpoints, preventing man-in-the-middle attacks and ensuring that only authorized services can participate in the authentication flow.</t>
  </si>
  <si>
    <t>Public Key Infrastructure (PKI) for certificate management
API Gateways with mTLS support
Secure reverse proxies (e.g., Nginx, HAProxy) configured for mTLS
Monitoring systems for certificate validity verification</t>
  </si>
  <si>
    <t>Resistance to replay attacks is essential for AMAP, considering the high-severity threats identified in the DREAD analysis, particularly "Impersonation for unauthorized access" (#7) and "Modification of credentials or tokens during transmission" (#8). To protect sensitive operations like payments, data modifications, and offer creation, implementing authenticators that generate one-time-use tokens (TOTP/HOTP) or cryptographic challenges prevents the reuse of captured credentials. This measure is especially important for Manager and Producer accounts that have privileged access in the system, mitigating the risk of session compromise or credential interception.</t>
  </si>
  <si>
    <t>TOTP/HOTP authentication apps (e.g., Google Authenticator, Microsoft Authenticator)
FIDO2/WebAuthn authenticators with cryptographic challenges
One-time code generation and verification systems
Authentication frameworks supporting ephemeral tokens</t>
  </si>
  <si>
    <t>Authentication intent verification is crucial for AMAP, considering multiple high-severity threats in the DREAD analysis, such as "Impersonation for unauthorized access" (8.0), "Impersonation to bypass authentication" (7.8), and "Credential interception during transmission" (7.8). Requiring an explicit user action (such as pressing a button on a FIDO key) or entering an OTP token confirms that the authentication is intentional and not automated by malware. This additional layer of protection is particularly important for Managers and Producers who have privileged access to critical system functions, such as payment and offer management. In addition to mitigating phishing risks, this requirement also helps fulfill GDPR obligations related to the protection of personal data.</t>
  </si>
  <si>
    <t>FIDO2/WebAuthn authenticators (e.g., YubiKey, security keys)
TOTP authentication apps (e.g., Google Authenticator, Microsoft Authenticator)
Authentication frameworks supporting MFA (e.g., Auth0, Firebase Authentication)
WebAuthn integration libraries for web platforms</t>
  </si>
  <si>
    <t>The implementation of initial passwords or activation codes generated by the system with secure characteristics is essential for AMAP, mitigating several high-severity threats from the DREAD analysis, such as "Impersonation of a Manager" (8.0) and "Impersonation for unauthorized access" (8.0). Ensuring that these temporary credentials are random, sufficiently complex, and expire quickly significantly reduces the window of opportunity for attacks during the registration or password reset process. Requiring users to change these initial passwords to permanent credentials chosen by the user is crucial to prevent unauthorized access, especially considering that privileged roles in the system (Managers and Producers) could be compromised. This practice also aligns with GDPR requirements to implement appropriate technical measures to protect personal data.</t>
  </si>
  <si>
    <t>Cryptographically Secure Pseudo-Random Number Generators (CSPRNG)
Authentication frameworks supporting temporary passwords (e.g., ASP.NET Identity)
Systems for automatic expiration of temporary passwords
Password policy verification modules</t>
  </si>
  <si>
    <t>Supporting the integration and use of user-provided authentication devices, such as FIDO/U2F tokens, is highly relevant for AMAP due to several high-severity threats identified in the DREAD analysis, particularly "Impersonation for unauthorized access" (8.0), "Impersonation of a Manager" (8.0), and "Credential interception during transmission" (7.8). Physical security keys provide superior protection against phishing and credential theft attacks, as authentication depends on the possession of a physical device rather than credentials that can be compromised. For privileged roles like Managers and Producers, who have access to sensitive financial information and can modify offers or process payments, this additional layer of security is particularly valuable. Additionally, this requirement aligns with modern security recommendations and facilitates compliance with GDPR by implementing appropriate technical measures to protect personal data.</t>
  </si>
  <si>
    <t>WebAuthn/FIDO2 libraries (e.g., SimpleWebAuthn)
FIDO security devices (e.g., YubiKey, Google Titan, etc.)
Authentication frameworks supporting FIDO/U2F
Credential management APIs for token registration and verification
SDKs for integration with identity providers supporting FIDO
ASP.NET Identity for user management and MFA integration (Note: ASP.NET Identity needs to be integrated with FIDO2/WebAuthn libraries for full support of FIDO/U2F tokens)</t>
  </si>
  <si>
    <t>Ensuring that renewal instructions are sent in advance is essential for AMAP, especially to mitigate risks related to loss of access due to expired authentications. This is relevant to threats identified in the DREAD analysis, such as "Impersonation to bypass authentication" (7.8) and "Unauthorized access to control functionalities" (7.2). Timely renewal of temporal authenticators, such as tokens or certificates, reduces the risk of interruptions in legitimate access and prevents users from resorting to insecure practices like reusing compromised credentials. This practice also improves the user experience and aligns with security best practices, ensuring the continuity of strong authentication usage.</t>
  </si>
  <si>
    <t xml:space="preserve">Automated notification systems (email, SMS, push notifications)
Authentication management APIs with token renewal support
Certificate/authenticator expiration monitoring tools
Authentication frameworks with support for renewal reminders (e.g., Auth0, Okta)
ASP.NET Identity for managing authentication expiration and session renewal
</t>
  </si>
  <si>
    <t>Identity (ASP.NET Core)</t>
  </si>
  <si>
    <t xml:space="preserve">Storing passwords securely is essential for AMAP, considering threats such as "Credential interception during transmission" (7.8) and "Access to sensitive user information" (7.8). The use of approved key derivation or hashing functions, such as bcrypt, Argon2, or PBKDF2, with salting and a cost factor, protects against offline attacks, such as brute force or dictionary attacks, even if the hashes are compromised. This practice is crucial for protecting user accounts, especially those with elevated privileges, such as Managers and Producers. Additionally, secure password storage is a requirement under the GDPR to protect personal data and aligns with best security practices recommended by OWASP.
</t>
  </si>
  <si>
    <t>Password hashing libraries (bcrypt, Argon2, PBKDF2)
Authentication frameworks with support for secure hashing (ASP.NET Identity)
Auditing tools to verify the security of password storage
Security policy configuration for passwords (e.g., minimum length, complexity)</t>
  </si>
  <si>
    <t>Using a unique and random salt of at least 32 bits in length is essential for protecting passwords stored in AMAP against offline attacks, such as brute force and rainbow table attacks. This practice mitigates threats identified in the DREAD analysis, such as "Access to sensitive user information" (7.8) and "Credential interception during transmission" (7.8). A unique salt per credential ensures that identical hashes are not generated for the same passwords, even if they are used by different users. This approach aligns with best security practices and GDPR requirements for protecting personal data.</t>
  </si>
  <si>
    <t>Password hashing libraries with support for salting (bcrypt, Argon2, PBKDF2)
Cryptographically secure random number generators (CSPRNG) for generating salt
Authentication frameworks that implement automatic salting (e.g., ASP.NET Identity)
Auditing tools to verify the uniqueness and length of stored salts</t>
  </si>
  <si>
    <t>Using a high number of iterations in PBKDF2 is essential to increase resistance against offline attacks, such as brute force, by making the hashing process computationally expensive for attackers. This requirement is relevant for AMAP, considering threats such as "Access to sensitive user information" (7.8) and "Credential interception during transmission" (7.8). A minimum of 100,000 iterations is recommended, but the exact number should balance security and the performance of the authentication server. This practice aligns with best security practices and helps meet GDPR requirements for protecting personal data.</t>
  </si>
  <si>
    <t xml:space="preserve">
Authentication frameworks that support configurable PBKDF2 (e.g., ASP.NET Identity)
Benchmark tools to determine the ideal number of iterations based on server performance
Regular audits to ensure the iteration count is up-to-date with current security standards</t>
  </si>
  <si>
    <t>Program.cs and SubscriptionPeriodController.cs.</t>
  </si>
  <si>
    <t>Using a high work factor in bcrypt is essential to increase resistance against offline attacks, such as brute force, by making the hashing process slower and computationally expensive for attackers. This requirement is relevant for AMAP, considering threats such as "Access to sensitive user information" (7.8) and "Credential interception during transmission" (7.8). A minimum work factor of 10 is recommended, but it should be adjusted based on server performance to ensure a balance between security and usability. This practice aligns with best security practices and helps protect personal data, in compliance with GDPR.</t>
  </si>
  <si>
    <t xml:space="preserve">
Authentication frameworks that support configurable bcrypt (e.g., ASP.NET Identity)
Benchmark tools to determine the ideal work factor based on server performance
Regular audits to ensure the work factor is up-to-date with current security standards</t>
  </si>
  <si>
    <t>Performing an additional iteration of a key derivation function with a secret salt significantly improves security against offline attacks, even if password hashes are compromised. This requirement is relevant for AMAP, considering threats such as "Access to sensitive user information" (7.8) and "Credential interception during transmission" (7.8). The use of a secret salt, generated by an approved cryptographically secure random number generator (SP 800-90Ar1), and stored separately (such as in an HSM), adds an extra layer of protection, making brute force and targeted attacks more difficult. This practice aligns with modern security standards and helps comply with GDPR requirements for protecting personal data.</t>
  </si>
  <si>
    <t>Cryptographically secure random number generators (CSPRNGs) compliant with SP 800-90Ar1
Hardware Security Modules (HSMs) for secure storage of secret salts
Key derivation function implementations (e.g., Argon2, PBKDF2, bcrypt) with support for multiple iterations
Authentication frameworks that allow configuration of secret salts and secure storage (e.g., AWS KMS, Azure Key Vault)</t>
  </si>
  <si>
    <t>Sending activation or recovery secrets in clear text exposes the system to significant risks, such as "Credential interception during transmission" (7.8) and "Unauthorized exposure of sensitive data" (7.6), identified in the AMAP DREAD analysis. To protect these secrets, it is essential to transmit them securely, using encrypted channels (such as HTTPS or TLS for emails) or alternative methods like one-time-use links or codes sent via authenticated apps. This practice reduces the risk of interception by attackers and aligns with the GDPR requirements to protect personal data during transmission.</t>
  </si>
  <si>
    <t>Secure communication protocols (TLS 1.2 or higher)
Email sending APIs with encryption support (e.g., AWS SES, SendGrid)
Authentication apps for secret delivery (e.g., Google Authenticator, Microsoft Authenticator
Authentication frameworks supporting one-time-use links or tokens (e.g., Auth0, Firebase Authentication)
ASP.NET Identity (for secure management of authentication and password recovery)</t>
  </si>
  <si>
    <t>The use of password hints or knowledge-based questions ("secret questions") is widely considered insecure, as these practices are vulnerable to social engineering attacks and the collection of public information. In the context of AMAP, this helps mitigate threats such as "Identity spoofing for unauthorized access" (8.0) and "Access to sensitive user information" (7.8). Replacing these practices with more secure methods, such as multifactor authentication (MFA) or password recovery links sent via secure channels, significantly improves system security and aligns with best practices recommended by OWASP and GDPR requirements</t>
  </si>
  <si>
    <t>Authentication frameworks that do not use security questions (e.g., Auth0, Firebase Authentication)
MFA implementation (e.g., TOTP, FIDO2)
Secure password recovery APIs with one-time-use links (e.g., AWS Cognito, Okta)
ASP.NET Identity (supports MFA and secure password recovery via secure links)</t>
  </si>
  <si>
    <t>Ensuring that the password recovery process does not reveal the current password is essential to protect AMAP users from threats such as "Access to sensitive user information" (7.8) and "Unauthorized exposure of sensitive data" (7.6). Displaying or sending the current password compromises security, especially if the credentials are intercepted or viewed by third parties. Instead, the system should allow secure password resets using one-time-use links or temporary codes sent via secure channels. This practice aligns with security best practices and GDPR requirements to protect personal data.</t>
  </si>
  <si>
    <t>ASP.NET Core Authorization</t>
  </si>
  <si>
    <t>Secure password reset APIs (e.g., AWS Cognito, Firebase Authentication)
Implementation of one-time-use password reset links
Authentication frameworks that support password recovery without exposing the current password (e.g., Auth0, Okta)
ASP.NET Identity (supports secure password reset with no exposure of current password)
Secure communication protocols (TLS 1.2 or higher) for sending reset instructions</t>
  </si>
  <si>
    <t>The presence of shared or default accounts, such as "root", "admin", or "sa", represents a significant risk for AMAP, as it facilitates attacks such as "Privilege escalation from CoProducer to Producer/Manager" (7.6) and "Unauthorized access to control features" (7.2). These accounts are often targets for brute force attacks or exploitation of default credentials. To mitigate these risks, it is essential to disable or remove default accounts and ensure that each user has unique, traceable credentials. This practice aligns with security best practices and helps comply with GDPR requirements for protecting personal data and ensuring accountability in access.</t>
  </si>
  <si>
    <t>Identity and Access Management (IAM) tools to disable default accounts
Regular system account and permission audits
Authentication frameworks that require unique credentials for each user (e.g., Keycloak, Okta)
ASP.NET Identity (supports the enforcement of unique credentials for each user)
Security policies prohibiting the use of shared accounts</t>
  </si>
  <si>
    <t>Notifying users when an authentication factor is changed or replaced is essential to protect AMAP against threats like "Identity spoofing for unauthorized access" (8.0) and "Privilege escalation from CoProducer to Producer/Manager" (7.6). This practice allows users to detect unauthorized activities in their accounts and take immediate action, such as blocking access or resetting credentials. The notification should be sent through a secure and reliable channel, such as email or SMS, and include sufficient information for the user to recognize the action without exposing sensitive details. This measure aligns with security best practices and the GDPR requirements to protect personal data.</t>
  </si>
  <si>
    <t>Secure notification APIs (e.g., Twilio, AWS SNS, SendGrid)
Authentication frameworks with support for notification events (e.g., Auth0, Firebase Authentication, ASP.NET Identity)
Audit logs to track authentication factor changes
Secure communication protocols (TLS 1.2 or higher) for sending notifications</t>
  </si>
  <si>
    <t>The use of secure password recovery mechanisms, such as TOTP, software tokens, push notifications, or offline methods, is essential to protect AMAP against threats like "Identity spoofing for unauthorized access" (8.0) and "Credentials interception during transmission" (7.8). These methods ensure that only the legitimate user can regain access to the account, even if other channels are compromised. Additionally, they prevent the exposure of sensitive information during the recovery process. This practice aligns with security best practices and GDPR requirements to protect personal data.</t>
  </si>
  <si>
    <t>TOTP implementations (e.g., Google Authenticator, Microsoft Authenticator)
Secure push notification APIs (e.g., Firebase Cloud Messaging, OneSignal)
Authentication frameworks with support for secure recovery (e.g., Auth0, Okta, ASP.NET Identity)
Secure communication protocols (TLS 1.2 or higher) for sending recovery codes or links</t>
  </si>
  <si>
    <t>Ensuring that identity proofing is conducted at the same level as the initial enrollment process when recovering lost authentication factors is essential to protect AMAP against threats like "Identity spoofing for unauthorized access" (8.0) and "Privilege escalation from CoProducer to Producer/Manager" (7.6). This requirement prevents attackers from exploiting recovery processes to gain unauthorized access. The user's identity should be verified using secure methods, such as document validation, biometric verification, or other trusted factors, ensuring that the security level remains consistent. This practice aligns with security best practices and GDPR requirements to protect personal data.</t>
  </si>
  <si>
    <t>Identity verification APIs (e.g., Onfido, Jumio)
Authentication frameworks with support for secure recovery (e.g., Auth0, Okta, ASP.NET Identity)
Biometric verification methods (e.g., facial recognition, fingerprinting)
Audit logs to track and validate recovery processes</t>
  </si>
  <si>
    <t>Ensuring that lookup secrets are one-time use is essential to protect AMAP against reuse attacks, such as "Identity spoofing for unauthorized access" (8.0) and "Interception of credentials during transmission" (7.8). One-time use lookup secrets, like recovery codes or OTPs, prevent an attacker from reusing compromised credentials. After use, the secret should be immediately invalidated to ensure it cannot be exploited again. This practice aligns with security best practices and helps comply with GDPR requirements for protecting personal data.</t>
  </si>
  <si>
    <t>OTP implementations based on TOTP or HOTP (e.g., Google Authenticator, Microsoft Authenticator)
Authentication frameworks that support one-time use codes (e.g., Auth0, Firebase Authentication, ASP.NET Identity)
Token management systems with support for invalidation after use
Audit logs to monitor and validate the use of lookup secrets</t>
  </si>
  <si>
    <t>Ensuring that lookup secrets are resistant to offline attacks, such as predictable values, is essential to protect AMAP against threats like "Interception of credentials during transmission" (7.8) and "Access to sensitive user information" (7.8). Lookup secrets should be generated cryptographically securely, using approved random number generators, to prevent attackers from predicting or guessing the values. Additionally, secrets should be stored securely using hashing with salting, to make brute force attacks more difficult in case they are compromised. This practice aligns with security best practices and GDPR requirements for protecting personal data.</t>
  </si>
  <si>
    <t>Cryptographically secure random number generators (CSPRNG) to create unpredictable secrets
Approved hashing libraries (e.g., Argon2, bcrypt, SHA-256 with salting)
Authentication frameworks that support secure generation and storage of secrets (e.g., Auth0, Firebase Authentication, ASP.NET Identity)
Regular audits to verify the unpredictability and security of lookup secrets</t>
  </si>
  <si>
    <t>Avoiding the use of out-of-band authenticators in plain text, such as SMS or PSTN, by default is crucial to protect the AMAP from threats like "Credential interception during transmission" (7.8) and "Identity spoofing for unauthorized access" (8.0). These methods are vulnerable to attacks such as SIM swapping and message interception. Safer alternatives, like authenticated push notifications or TOTP, should be prioritized to ensure better protection. This practice aligns with NIST recommendations and security best practices, in addition to helping comply with GDPR requirements to protect personal data.</t>
  </si>
  <si>
    <t>Secure push notification APIs (e.g., Firebase Cloud Messaging, OneSignal)
TOTP implementations (e.g., Google Authenticator, Microsoft Authenticator)
Authentication frameworks that prioritize secure methods (e.g., Auth0, Okta, ASP.NET Core Identity)
Regular audits to ensure insecure methods are not configured as defaults</t>
  </si>
  <si>
    <t>Ensuring that out-of-band verifiers expire requests, codes, or tokens after 10 minutes is essential to protect AMAP against threats like "Credential interception during transmission" (7.8) and "Identity spoofing to gain unauthorized access" (8.0). Limiting the validity period reduces the opportunity window for attackers to exploit compromised or intercepted codes. Additionally, this practice enhances the overall security of the system by minimizing the impact of exposed temporary credentials. It aligns with best security practices and the GDPR requirements to protect personal data.</t>
  </si>
  <si>
    <t>Authentication frameworks supporting token expiration (e.g., Auth0, Firebase Authentication, ASP.NET Core Identity)
Token management APIs with configurable expiration times (e.g., OAuth2, JWT)
Regular audits to check compliance with configured expiration times
Audit logs to monitor the usage and expiration of codes or tokens</t>
  </si>
  <si>
    <t>Key and password rotation processes mitigate the impact of compromise (risks 5.1 I, 3.3 I).</t>
  </si>
  <si>
    <t>Azure Key Vault, rotation scripts</t>
  </si>
  <si>
    <t>Azure Key Vault, AWS Secrets Manager.</t>
  </si>
  <si>
    <t>Azure Key Vault, AWS KMS</t>
  </si>
  <si>
    <t>A clear key management policy reduces risks of exposure and misuse (risks 5.1 I, 3.3 I). It is recommended to follow NIST SP 800-57.</t>
  </si>
  <si>
    <t>Storing secrets in vaults prevents accidental exposure and attacks (risks 5.1 I, 3.3 I).</t>
  </si>
  <si>
    <t>Ensuring that out-of-band authentication requests, codes, or tokens are single-use and linked to the original request is essential to protect AMAP against reuse attacks, such as "Identity spoofing to gain unauthorized access" (8.0) and "Credential interception during transmission" (7.8). Reusable tokens or tokens that are not linked to the original request can be exploited by attackers to gain unauthorized access. Implementing verifiers that automatically invalidate tokens after use or expiration ensures greater security. This practice aligns with best security practices and GDPR requirements for protecting personal data.</t>
  </si>
  <si>
    <t>Authentication frameworks that support one-time use tokens (e.g., Auth0, Firebase Authentication, ASP.NET Identity)
Token management APIs with context binding support (e.g., OAuth2, JWT, ASP.NET Identity)
Audit logs to track and validate token usage
Implementation of verifiers that invalidate tokens after use or expiration (e.g., ASP.NET Identity)s</t>
  </si>
  <si>
    <t>Default logging in ASP.NET Core</t>
  </si>
  <si>
    <t xml:space="preserve"> Using a common log format facilitates analysis and incident detection (risks 4.3 R, 5.1 I).</t>
  </si>
  <si>
    <t>Securely transmitting logs to a remote system reduces the risk of tampering or loss of evidence (risks 4.3 R, 5.1 I).</t>
  </si>
  <si>
    <t>Solutions like ELK Stack, Azure Monitor, or remote syslog.</t>
  </si>
  <si>
    <t>Ensuring that the out-of-band authenticator and verifier communicate over a secure and independent channel is essential to protect the AMAP from threats like "Credential interception during transmission" (7.8) and "Identity spoofing to gain unauthorized access" (8.0). An independent and secure channel, such as authenticated push notifications or dedicated apps, reduces the risk of interception or manipulation of data by attackers. Additionally, using secure protocols, such as TLS, ensures the confidentiality and integrity of communication. This practice aligns with best security practices and GDPR requirements to protect personal data.</t>
  </si>
  <si>
    <t>Secure push notification APIs (e.g., Firebase Cloud Messaging, OneSignal)
Independent channel implementations, such as authenticator apps (e.g., Google Authenticator, Microsoft Authenticator)
Secure communication protocols (TLS 1.2 or higher)
Regular audits to verify the security of the communication channels used
ASP.NET Identity for secure authentication and user credential management</t>
  </si>
  <si>
    <t>Storing only a hashed version of the out-of-band authentication code is essential to protect the AMAP from attacks such as "Access to sensitive user information" (7.8) and "Credential interception during transmission" (7.8). This ensures that even if storage is compromised, the original codes cannot be retrieved or reused. The hash should be generated using a secure, approved hashing function such as SHA-256 and ideally combined with a unique salt for added protection. This practice aligns with best security practices and GDPR requirements to protect personal data.</t>
  </si>
  <si>
    <t>Secure hashing libraries (e.g., bcrypt, Argon2, SHA-256 with salting)
Authentication frameworks that support secure storage of codes (e.g., Auth0, Firebase Authentication)
Regular audits to ensure only hashed codes are stored
Audit logs to monitor the use and validity of hashed codes
ASP.NET Identity for secure storage and management of authentication codes</t>
  </si>
  <si>
    <t>Ensuring that the initial authentication code is generated by a cryptographically secure random number generator (CSPRNG) with at least 20 bits of entropy is essential to protect the AMAP from attacks such as "Identity spoofing to gain unauthorized access" (8.0) and "Credential interception during transmission" (7.8). A code with 20 bits of entropy (such as a six-digit random number) is sufficiently unpredictable to resist brute-force attacks. This practice aligns with best security practices and GDPR requirements to protect personal data.</t>
  </si>
  <si>
    <t>Cryptographically secure random number generators (CSPRNG) (e.g., System.Security.Cryptography.RandomNumberGenerator in .NET)
Authentication frameworks that support secure code generation (e.g., Auth0, Firebase Authentication)
Regular audits to verify the entropy and security of generated codes
Audit logs to monitor the use and validity of authentication codes
ASP.NET Identity for securely generating and managing authentication codes</t>
  </si>
  <si>
    <t>Ensuring that time-based one-time passwords (TOTP) have a defined lifespan before expiration is essential to protect the AMAP from attacks such as "Credential interception during transmission" (7.8) and "Identity spoofing to gain unauthorized access" (8.0). A short lifespan (typically 30 seconds) reduces the opportunity for an attacker to use an intercepted code. This practice improves the overall security of the system and aligns with best security practices and GDPR requirements to protect personal data.</t>
  </si>
  <si>
    <t>TOTP implementations (e.g., Google Authenticator, Microsoft Authenticator)
Authentication frameworks that support TOTP with expiration time configuration (e.g., Auth0, Okta)
Regular audits to verify compliance with configured expiration times
ASP.NET Identity for managing and configuring TOTP expiration times securely</t>
  </si>
  <si>
    <t>Protecting the symmetric keys used to verify OTPs is essential to avoid compromises that could lead to attacks such as "Identity spoofing to gain unauthorized access" (8.0) and "Co-Producer privilege escalation to Producer/Manager" (7.6). The use of hardware security modules (HSMs) or OS-based secure storage (such as Windows DPAPI or Android Keystore) ensures that keys remain inaccessible to attackers, even in the event of a partial system compromise. This practice aligns with best security practices and GDPR requirements to protect sensitive data.</t>
  </si>
  <si>
    <t>Hardware Security Modules (HSMs) (e.g., AWS CloudHSM, Azure Key Vault HSM)
OS-based secure storage (e.g., Windows DPAPI, Android Keystore, Apple Secure Enclave)
Authentication frameworks that support secure key management (e.g., Auth0, Firebase Authentication)
Regular audits to verify the protection and secure management of symmetric keys
ASP.NET Identity for securely managing OTP verification keys</t>
  </si>
  <si>
    <t>The use of approved cryptographic algorithms for the generation, initialization (seeding), and verification of OTPs is essential to protect the AMAP against attacks such as "Credential interception during transmission" (7.8) and "Identity spoofing to gain unauthorized access" (8.0). Algorithms like HMAC-SHA1, HMAC-SHA256, or HMAC-SHA512, as specified in RFC 6238 (for TOTP) and RFC 4226 (for HOTP), ensure the security and integrity of OTPs. Using unapproved or insecure algorithms could compromise the system's resistance to attacks. This practice aligns with best security practices and GDPR requirements to protect personal data.</t>
  </si>
  <si>
    <t>Authentication frameworks that support approved cryptographic algorithms (e.g., Auth0, Okta)
Regular audits to verify compliance with approved cryptographic algorithms
Security analysis tools to validate the implementation of cryptographic algorithms
ASP.NET Identity for implementing secure OTP generation and verification algorithms</t>
  </si>
  <si>
    <t>Ensuring that time-based OTPs (TOTP) can only be used once within their validity period is essential to protect the AMAP against reuse attacks, such as "Identity spoofing to gain unauthorized access" (8.0) and "Credential interception during transmission" (7.8). Even if an attacker intercepts a valid OTP, the restriction of one-time use prevents it from being reused to compromise the account. This practice enhances the overall security of the system and aligns with best security practices and GDPR requirements to protect personal data.</t>
  </si>
  <si>
    <t>Authentication frameworks that support single-use control for TOTP (e.g., Auth0, Firebase Authentication)
Audit logs to monitor and validate the one-time use of OTPs
Token management systems that invalidate OTPs after use
ASP.NET Identity for managing secure OTP usage and validation</t>
  </si>
  <si>
    <t>Ensuring that the reuse of a time-based OTP (TOTP) within its validity period is logged, rejected, and notified to the device holder is essential to protect the AMAP against reuse attacks, such as "Identity spoofing to gain unauthorized access" (8.0). Logging the event allows for audits and investigations, while rejecting the token prevents unauthorized access. Notifying the user securely (via email or push notification) raises awareness of potential attack attempts and enables immediate corrective actions. This practice aligns with best security practices and GDPR requirements to protect personal data.</t>
  </si>
  <si>
    <t>GitHub</t>
  </si>
  <si>
    <t>Authentication frameworks that support rejection and logging of OTP reuse (e.g., Auth0, Firebase Authentication)
Secure notification APIs (e.g., Twilio, Firebase Cloud Messaging)
Audit logs to monitor OTP reuse attempts
Secure communication protocols (TLS 1.2 or higher) for sending notifications
ASP.NET Identity for managing OTP reuse prevention, logging, and notifications</t>
  </si>
  <si>
    <t>Ensuring that physical one-factor OTP generators can be revoked in case of theft or loss is essential to protect the AMAP from unauthorized access, mitigating threats such as "Identity spoofing to gain unauthorized access" (8.0). Immediate revocation, effective across all active sessions, prevents the compromised device from being used for authentication, regardless of its location. This requirement enhances the overall security of the system and aligns with best security practices and GDPR requirements to protect personal data.</t>
  </si>
  <si>
    <t>Authentication device management systems (e.g., Okta, Auth0)
Token and session revocation APIs (e.g., OAuth2, OpenID Connect)
Audit logs to track revocations and subsequent access
Authentication frameworks supporting immediate device revocation (e.g., Firebase Authentication, Keycloak)
ASP.NET Identity for managing device revocation and ensuring session invalidation</t>
  </si>
  <si>
    <t>Code review, dependency analysis</t>
  </si>
  <si>
    <t>CI/CD (GitHub Actions, Azure DevOps), validation scripts</t>
  </si>
  <si>
    <t>Ensuring that biometric authenticators are used only as secondary factors, combined with something the user possesses (e.g., physical device) and something they know (e.g., password), is essential to protect the AMAP against attacks such as "Identity spoofing to gain unauthorized access" (8.0). Biometrics alone are not sufficient, as they can be compromised (e.g., copies of fingerprints or facial recognition). The combination of multiple factors strengthens security and reduces the risk of unauthorized access. This practice aligns with best security practices and GDPR requirements to protect personal data.</t>
  </si>
  <si>
    <t>Multi-factor authentication frameworks that support biometrics as a secondary factor (e.g., Auth0, Okta)
Authentication management systems requiring multiple factors (e.g., Keycloak, Firebase Authentication)
Regular audits to ensure compliance with multi-factor authentication policies
ASP.NET Identity for integrating multi-factor authentication with biometrics as a secondary factor</t>
  </si>
  <si>
    <t>Ensuring that cryptographic keys used in verification are stored securely is essential to protect the AMAP against attacks such as "Unauthorized access to control functionalities" (7.2) and "Identity spoofing to gain unauthorized access" (8.0). The use of security modules, such as TPMs, HSMs, or secure storage services based on the operating system (e.g., Windows DPAPI, Android Keystore), protects the keys from extraction or disclosure, even in the event of partial system compromise. This practice aligns with best security practices and GDPR requirements to protect sensitive data.</t>
  </si>
  <si>
    <t xml:space="preserve"> Automating and verifying deployment reduces manual errors and insecure configuration risks (risks 4.3 R, 5.1 I).</t>
  </si>
  <si>
    <t>Trusted Platform Module (TPM) for secure key storage
Hardware Security Modules (HSMs) (e.g., AWS CloudHSM, Azure Key Vault HSM)
Secure storage services based on the operating system (e.g., Android Keystore, Apple Secure Enclave, Windows DPAPI)
Authentication frameworks that support integration with secure storage (e.g., Auth0, Firebase Authentication)
ASP.NET Identity for secure key storage and management in authentication systems</t>
  </si>
  <si>
    <t>Ensuring that the challenge nonce is at least 64 bits in length and statistically unique or unique during the lifetime of the cryptographic device is essential to protect the AMAP against replay attacks and spoofing. Unique nonces ensure that each cryptographic operation is distinct, preventing an attacker from reusing previous messages or responses. The use of cryptographically secure random number generators (CSPRNG) to create nonces is a recommended practice. This measure aligns with best security practices and helps protect sensitive data in compliance with the GDPR.</t>
  </si>
  <si>
    <t>Cryptographically Secure Random Number Generators (CSPRNG) (e.g., System.Security.Cryptography.RandomNumberGenerator in .NET)
Cryptographic APIs that support the generation of unique nonces (e.g., OpenSSL, BouncyCastle)
Authentication frameworks that use secure nonces (e.g., OAuth2, OpenID Connect)
ASP.NET Identity for nonce generation in authentication processes
Regular audits to verify the uniqueness and security of generated nonces</t>
  </si>
  <si>
    <t>Transparent Data Encryption (TDE) in SQL Server, Always Encrypted, or encryption at the application level.</t>
  </si>
  <si>
    <t xml:space="preserve"> Ensuring the use of approved cryptographic algorithms for generation, initialization (seeding), and verification is essential to protect the AMAP from attacks such as "Credential interception during transmission" (7.8) and "Identity spoofing for unauthorized access" (8.0). Algorithms such as AES, RSA, HMAC-SHA256, HMAC-SHA512, and others approved by standards like NIST or recommended by OWASP guarantee the security and integrity of the data. The use of unapproved or obsolete algorithms can compromise the system's resistance to attacks. This practice aligns with security best practices and helps protect sensitive data in compliance with GDPR.</t>
  </si>
  <si>
    <t>Secure cryptographic libraries (e.g., OpenSSL, BouncyCastle, PyCryptodome)
ASP.NET Core Identity: Provides authentication and data protection services, utilizing secure algorithms like HMAC-SHA256 for token signing and AES for data encryption, ensuring the use of approved cryptographic algorithms.
Frameworks supporting approved cryptographic algorithms (e.g., Auth0, Firebase Authentication)
Regular audits to verify compliance with approved cryptographic algorithms
Security analysis tools to validate the implementation of cryptographic algorithms</t>
  </si>
  <si>
    <t>Avoiding the use of static and unchangeable credentials, such as passwords, API keys, or shared accounts with privileged access, is crucial to protect the AMAP from threats like "Unauthorized access to control functionalities" (7.2) and "Identity spoofing for unauthorized access" (8.0). Static credentials are vulnerable to brute-force attacks, reuse, and compromise. Instead, it is recommended to use dynamic mechanisms, such as short-lived tokens (OAuth2), certificate-based authentication, or automatic credential rotation systems. This practice reduces the risk of compromise and is aligned with security best practices and GDPR requirements.</t>
  </si>
  <si>
    <t>Secret Management (e.g., HashiCorp Vault, AWS Secrets Manager, Azure Key Vault)
Dynamic Access Tokens (e.g., OAuth2 with JWT)
Automatic Credential Rotation through CI/CD tools (e.g., Jenkins, GitHub Actions)
Authentication Frameworks that support short-lived tokens (e.g., Keycloak)</t>
  </si>
  <si>
    <t>The use of default credentials for service accounts poses a significant risk to the AMAP, especially considering threats like "Identity spoofing for unauthorized access" (8.0) and "Unauthorized access to control functionalities" (7.2). Default credentials are widely known and often exploited by attackers to compromise systems. Ensuring that these credentials are changed during the initial configuration of the service is essential to mitigate this risk. This practice is aligned with security best practices and GDPR requirements to protect sensitive data.</t>
  </si>
  <si>
    <t>Automated configuration scripts to enforce the change of default credentials during installation.
Security auditing tools to detect default credentials (e.g., Nessus, OpenVAS).
Service account management with unique and secure credentials (e.g., HashiCorp Vault, AWS Secrets Manager).</t>
  </si>
  <si>
    <t>Storing passwords with sufficient protection to prevent offline attacks, such as brute force or dictionary attacks, is essential for the AMAP, considering threats like "Interception of credentials during transmission" (7.8) and "Access to sensitive user information" (7.8). Passwords should be stored using secure hashing algorithms such as bcrypt, Argon2, or PBKDF2, with salting and an appropriate cost factor. This ensures that even in the case of local system access, passwords cannot be easily retrieved. This practice aligns with best security practices and GDPR requirements for protecting personal data.</t>
  </si>
  <si>
    <t>Secure hashing libraries (e.g., bcrypt, Argon2, PBKDF2).
Authentication frameworks supporting secure hashing (e.g., ASP.NET Identity).
Regular audits to verify compliance with secure password storage policies.</t>
  </si>
  <si>
    <t>Managing passwords, API keys, seeds, and internal secrets securely is crucial to protect the AMAP from threats such as "Unauthorized access to control features" (7.2) and "Identity spoofing for unauthorized access" (8.0). Storing these secrets in the source code or repositories exposes the system to offline attacks, especially if the repository is compromised. Using tools such as secret managers (e.g., HashiCorp Vault, AWS Secrets Manager) or secure hardware devices (e.g., HSMs, TPMs) ensures that secrets are protected from unauthorized access. This practice aligns with best security practices and GDPR requirements to protect sensitive data.</t>
  </si>
  <si>
    <t>Secret managers (e.g., HashiCorp Vault, AWS Secrets Manager, Azure Key Vault).
Hardware Security Modules (HSMs) (e.g., AWS CloudHSM, Azure Key Vault HSM).
Secure software key stores (e.g., Docker Secrets, Kubernetes Secrets).
Code analysis tools to detect secrets in repositories (e.g., GitGuardian, TruffleHog).</t>
  </si>
  <si>
    <t>ASP.NET Core Identity</t>
  </si>
  <si>
    <t xml:space="preserve">Password Security -Pedro Vilarinho </t>
  </si>
  <si>
    <t>The Identity configuration is done in Program.cs, "builder.Services.AddIdentity&lt;AppUser, IdentityRole&gt;()
    .AddEntityFrameworkStores&lt;AppDbContext&gt;()
    .AddDefaultTokenProviders();" and the AppUser inherits from IdentityUser, that includes all the fields for a secure management of passwords.</t>
  </si>
  <si>
    <t>In Program.cs we have "// Configure password hasher with explicit salt size and security parameters
builder.Services.Configure&lt;PasswordHasherOptions&gt;(options =&gt;
{
    // Salt size is 128 bits (16 bytes) - exceeds OWASP requirement of minimum 32 bits
    // Each user gets a unique random salt to prevent salt collisions
    options.IterationCount = 100000; // OWASP C6: PBKDF2 iteration count set to 100,000 as recommended
    options.CompatibilityMode = PasswordHasherCompatibilityMode.IdentityV3; // Uses PBKDF2 with HMAC-SHA256
});", that uses PasswordHasherCompatibilityMode, that specifies the format used for hashing passwords.</t>
  </si>
  <si>
    <t>In Program.cs we have "// Configure password hasher with explicit salt size and security parameters
builder.Services.Configure&lt;PasswordHasherOptions&gt;(options =&gt;
{
    // Salt size is 128 bits (16 bytes) - exceeds OWASP requirement of minimum 32 bits
    // Each user gets a unique random salt to prevent salt collisions
    options.IterationCount = 100000; // OWASP C6: PBKDF2 iteration count set to 100,000 as recommended
    options.CompatibilityMode = PasswordHasherCompatibilityMode.IdentityV3; // Uses PBKDF2 with HMAC-SHA256
});", and this code shows the implementation of PBKDF2 (through Identity), the iteration count of 100000 as recommended by OWASP and the explicit documentation of the security parameters.</t>
  </si>
  <si>
    <t xml:space="preserve">Our current PBKDF2 implementation already meets all these requirements, so we don't need to switch to bcrypt.  </t>
  </si>
  <si>
    <t>General Authenticator Security - Diogo Costa</t>
  </si>
  <si>
    <t>This requirement is satisfied, because there are no password hints or knowledge-based authentication (secret questions) implemented in the system.</t>
  </si>
  <si>
    <t>We have Password Recovery Flow in AccountController.cs: // Step 1: Request Password Reset
   [HttpPost("forgot-password")]
   public async Task&lt;IActionResult&gt; ForgotPassword([FromBody] ForgotPasswordViewModel model)
   {
       // Generate token only for existing users
       var token = await _userManager.GeneratePasswordResetTokenAsync(user);
   }
   // Step 2: Reset Password
   [HttpPost("reset-password")]
   public async Task&lt;IActionResult&gt; ResetPassword([FromBody] ResetPasswordViewModel model)
   {
       // Verify token and reset password
       var isValid = await _userManager.VerifyUserTokenAsync(user, ...);
       var result = await _userManager.ResetPasswordAsync(user, model.Token, model.NewPassword);
   }</t>
  </si>
  <si>
    <t>This requirement is done, we had Bootstrap Accounts with the default names, that are removed for safer architecture.</t>
  </si>
  <si>
    <t>Ao longo de todos os sprints do projeto, a equipa tem realizado uma identificação contínua e sistemática dos aspetos de segurança relevantes para cada fase do desenvolvimento. Esta prática assegura que a segurança é considerada desde a conceção até à implementação, alinhando-se com as melhores práticas de um ciclo de vida de desenvolvimento seguro (SDLC). A modelação de ameaças, análise de riscos e definição de contramedidas são atividades integradas nas reuniões de planeamento e revisões, garantindo que potenciais vulnerabilidades são antecipadas e tratadas atempadamente.</t>
  </si>
  <si>
    <t>A modelação de ameaças foi realizada na Fase 1 do projeto e continuará a ser efetuada nas fases seguintes e em cada alteração de design ou sprint, garantindo a identificação e mitigação contínua dos riscos de segurança.</t>
  </si>
  <si>
    <t>Para cada elemento do Diagrama de Fluxo de Dados (DFD) foram elaborados casos de abuso, identificando vetores de ataque e agentes de ameaça associados. Além disso, todas as user stories e funcionalidades incorporam restrições funcionais de segurança, assegurando que os requisitos de proteção são considerados desde a definição das funcionalidades.</t>
  </si>
  <si>
    <t>Foram elaborados Diagramas de Fluxo de Dados (DFD) que indicam claramente as fronteiras de confiança, as ameaças associadas e o fluxo dos dados significativos no sistema. Esta documentação permite uma melhor compreensão e análise dos pontos críticos de segurança.</t>
  </si>
  <si>
    <t>Elaborámos diagramas de componentes e Diagramas de Fluxo de Dados (DFDs) e verificámos que a arquitetura do projeto não incluía Data Transfer Objects (DTOs). Por essa razão, a implementação dos DTOs foi realizada neste Sprint 1 da Fase 2, garantindo uma definição mais clara e segura da arquitetura de alto nível e dos serviços remotos associados.</t>
  </si>
  <si>
    <t>OWASP ASVS, GIT HUB</t>
  </si>
  <si>
    <t>Estamos a usar o ASVS como referência de segurança, integrado na pipeline de desenvolvimento e com revisões de código regulares, para garantir que todos seguem boas práticas de codificação segura.</t>
  </si>
  <si>
    <t>Utilizamos sempre a mesma biblioteca para funções específicas, como autenticação e validação, garantindo a reutilização de código e a implementação de controlos de segurança centralizados, simples e seguros em todo o projeto.</t>
  </si>
  <si>
    <t>Credentials Storage - Pedro Costa</t>
  </si>
  <si>
    <t>Credential Recovery - Pedro Costa</t>
  </si>
  <si>
    <t>Program.cs (lines 63-68):
// Configuração das roles de autorização
builder.Services.AddAuthorization(options =&gt;
{
    options.AddPolicy("Manager", policy =&gt; policy.RequireRole("Manager"));
    options.AddPolicy("Producer", policy =&gt; policy.RequireRole("Producer"));
    options.AddPolicy("CoProducer", policy =&gt; policy.RequireRole("CoProducer"));
});
PaymentController.cs (line 11):
[Authorize(Roles = nameof(UserType.CoProducer))]
DeliveryBc.cs (lines 29-33):
// Verificar se o produtor atual tem permissão
if (subscription.ProductOffer == null ||
    subscription.ProductOffer.Product.ProducerId != currentProducerId)
    throw new UnauthorizedAccessException("You are not allowed to update this subscription.");</t>
  </si>
  <si>
    <t>Requisito aplicado com controlo de acesso central no backend: uso de [Authorize] no controller e validação adicional na camada de business.</t>
  </si>
  <si>
    <t>No estado atual, a pipeline CI/CD garante que as fases de build, teste e análise são executadas com permissões mínimas, conforme os runners da GitHub. No entanto, o passo de deploy ainda não está configurado para um ambiente real. Na fase seguinte, será necessário garantir que, em produção, os serviços correm com utilizadores com permissões limitadas</t>
  </si>
  <si>
    <t>Ainda não está completo, falta fazer o deploy na pipeline</t>
  </si>
  <si>
    <t>appsettings.json: "ConnectionStrings": {
  "DefaultConnection": "Server=myserver;Database=mydb;User Id=myuser;Password=mypassword;"
}</t>
  </si>
  <si>
    <t>A comunicação entre a aplicação e a base de dados é autenticada via connection string com credenciais específicas.</t>
  </si>
  <si>
    <t>Obtém ID do utilizador autenticado via claims do token — evita manipulação pelo cliente.</t>
  </si>
  <si>
    <t>using Microsoft.AspNetCore.Mvc;
using System.Security.Claims;
namespace AMAP.Api.Controllers
{
    public class BaseController : Controller
    {
        protected string GetLoggedId() =&gt; User.Claims.FirstOrDefault(c =&gt; c.Type.Equals(ClaimTypes.NameIdentifier))?.Value;
    }
}</t>
  </si>
  <si>
    <t>ASP.NET Core Identity / JWT Middleware (System.Security.Claims)</t>
  </si>
  <si>
    <t>Acesso restrito a utilizadores com o papel "Manager" — segue o princípio do menor privilégio.</t>
  </si>
  <si>
    <t>[Authorize(Roles = nameof(UserType.Manager))]
[HttpPost()]
public async Task&lt;IActionResult&gt; CreateSubscriptionPeriodAndDeliveryDate([FromBody] SubscriptionPeriod subscriptionPeriod)
{
    try
    {
        var created = await _subscriptionPeriodBc.CreateSubscriptionPeriodAndDeliveryDateAsync(subscriptionPeriod);
        return CreatedAtAction(nameof(GetSubscriptionPeriodById), new { id = created.Id }, created);
    }
    catch (ArgumentException ex)
    {
        return BadRequest(new { message = ex.Message });
    }
    catch (InvalidOperationException ex)
    {
        return BadRequest(new { message = ex.Message });
    }
}</t>
  </si>
  <si>
    <t>Atualmente, a aplicação utiliza autenticação baseada em cookies com o ASP.NET Core Identity, um mecanismo seguro e extensível. Embora o sistema ainda não tenha um mecanismo de monitorização ativo, a arquitetura permite integrar facilmente logging e auditoria de acessos, através de ILogger, Application Insights, Serilog, ou outros sistemas compatíveis com .NET. A monitorização será considerada numa fase posterior do projeto.</t>
  </si>
  <si>
    <t>Falha de autenticação devolve 401 — controlo de acesso falha de forma segura.</t>
  </si>
  <si>
    <t>Colocar posteriormente logging para monitorizar.                         Program.cs:                                      Autenticação por cookie:
builder.Services.ConfigureApplicationCookie(options =&gt; {
    ...
    options.Cookie.SecurePolicy = CookieSecurePolicy.Always;
    options.Cookie.SameSite = SameSiteMode.Strict;
});                                                              
Suporte a roles e política de autorização:
builder.Services.AddAuthorization(options =&gt; {
    options.AddPolicy("Manager", policy =&gt; policy.RequireRole("Manager"));
});
Suporte a extensibilidade via Identity:
builder.Services.AddIdentity&lt;AppUser, IdentityRole&gt;()
    .AddEntityFrameworkStores&lt;AppDbContext&gt;()
    .AddDefaultTokenProviders();</t>
  </si>
  <si>
    <t>Mecanismo de autenticação unificado e seguro com base em cookies.</t>
  </si>
  <si>
    <t>//ProductController.cs  [HttpGet("export-to-file")]
public IActionResult ExportProductsToFile()
{
    var producerId = User.Claims.FirstOrDefault(c =&gt; c.Type == ClaimTypes.NameIdentifier)?.Value;
    if (string.IsNullOrEmpty(producerId))
    {
        return Unauthorized(new { message = "Producer not authenticated" });
    }</t>
  </si>
  <si>
    <t>Program.cs:               builder.Services.AddIdentity&lt;AppUser, IdentityRole&gt;()
    .AddEntityFrameworkStores&lt;AppDbContext&gt;()
    .AddDefaultTokenProviders();
builder.Services.ConfigureApplicationCookie(options =&gt;
{
    options.LoginPath = "/api/account/login";
    options.LogoutPath = "/api/account/logout";
    options.SlidingExpiration = true;
    options.Cookie.SecurePolicy = CookieSecurePolicy.Always;
    options.Cookie.SameSite = SameSiteMode.Strict;
});</t>
  </si>
  <si>
    <t>Protege a operação de DELETE com verificação do utilizador autenticado — previne IDOR.</t>
  </si>
  <si>
    <t>ASP.NET Core Claims-based Authorization (via System.Security.Claims)</t>
  </si>
  <si>
    <t xml:space="preserve">Relatório Fase 1 </t>
  </si>
  <si>
    <t>//ProductController.cs  [HttpDelete("{id}")]
public IActionResult DeleteProduct(int id)
{
    var producerId = User.Claims.FirstOrDefault(c =&gt; c.Type.Equals(ClaimTypes.NameIdentifier))?.Value;
    try
    {
        _productBc.DeleteProduct(id, producerId);
        return NoContent();
    }
    catch (ArgumentException ex)
    {
        return BadRequest(new { message = ex.Message });
    }
    catch (KeyNotFoundException ex)
    {
        return NotFound(new { message = ex.Message });
    }
}</t>
  </si>
  <si>
    <t xml:space="preserve"> Fase 2 - Sprint 1 --&gt; DTOS implementados</t>
  </si>
  <si>
    <t xml:space="preserve">Fase 2 - Sprint 1 </t>
  </si>
  <si>
    <t>Controlos de acesso aplicados exclusivamente no backend, usando middleware de autenticação/autorização e atributos [Authorize]. O frontend não valida permissões.</t>
  </si>
  <si>
    <t>ASP.NET Core Identity, Middleware ASP.NET Core</t>
  </si>
  <si>
    <t>Program.cs and SubscriptionPeriodController.cs:        // Em Program.cs:  builder.Services.AddIdentity&lt;AppUser, IdentityRole&gt;()
    .AddEntityFrameworkStores&lt;AppDbContext&gt;()
    .AddDefaultTokenProviders();
// Configuração das policies:
builder.Services.AddAuthorization(options =&gt;
{
    options.AddPolicy("Manager", policy =&gt; policy.RequireRole("Manager"));
    options.AddPolicy("Producer", policy =&gt; policy.RequireRole("Producer"));
    options.AddPolicy("CoProducer", policy =&gt; policy.RequireRole("CoProducer"));
});
// Middleware na pipeline:
app.UseAuthentication();
app.UseAuthorization();
// No controller:
[Authorize(Roles = nameof(UserType.Manager))]
[HttpPost()]
public async Task&lt;IActionResult&gt; CreateSubscriptionPeriodAndDeliveryDate(...)
{
    // método protegido por policy de roles
}</t>
  </si>
  <si>
    <t>//Program.cs                                    // Configuração do Identity e cookie de autenticação
builder.Services.AddIdentity&lt;AppUser, IdentityRole&gt;()
    .AddEntityFrameworkStores&lt;AppDbContext&gt;()
    .AddDefaultTokenProviders();
// Configuração do cookie de autenticação para login/logout e segurança básica
builder.Services.ConfigureApplicationCookie(options =&gt;
{
    options.LoginPath = "/api/account/login";
    options.LogoutPath = "/api/account/logout";
    options.SlidingExpiration = true;
    // Configurações de cookie (secure, SameSite) dependendo do ambiente
});
// Uso dos middlewares
app.UseAuthentication();  
app.UseAuthorization();</t>
  </si>
  <si>
    <t>A aplicação implementa proteção anti-CSRF parcial, mas com limitações importantes. Em produção, a proteção baseia-se principalmente no atributo SameSite dos cookies, que oferece uma proteção básica, mas não é uma solução completa contra CSRF.</t>
  </si>
  <si>
    <t>A aplicação assegura acesso uniforme através de Identity e políticas, evitando caminhos alternativos inseguros.</t>
  </si>
  <si>
    <t>Utiliza-se o ASP.NET Core Identity para roles, complementado com validações específicas baseadas em claims (atributos) do utilizador para decisões de negócio.</t>
  </si>
  <si>
    <t>Program.cs:
builder.Services.AddIdentity&lt;AppUser, IdentityRole&gt;()
    .AddEntityFrameworkStores&lt;AppDbContext&gt;()
    .AddDefaultTokenProviders();
builder.Services.AddAuthorization(options =&gt;
{
    options.AddPolicy("CanImportProducts", policy =&gt;
        policy.RequireClaim("CanImport", "true"));
});
app.UseAuthentication();
app.UseAuthorization();                             
ProductController.cs:
[Authorize(Roles = nameof(UserType.Producer))]
public class ProductController : ControllerBase
{
    [HttpPost("import-from-file")]
    [Authorize(Policy = "CanImportProducts")] // controlo baseado em claim/atributo
    public IActionResult ImportProductsFromFile(IFormFile file)
    {
        // implementação omitida
        return Ok();
    }
}</t>
  </si>
  <si>
    <t>ProductOfferController.cs: if(productOffer == null) return BadRequest(); catch(ArgumentException) { return BadRequest(); }</t>
  </si>
  <si>
    <t>ASP.NET Core MVC</t>
  </si>
  <si>
    <t>Validação de dados e tratamento de erros implementados no controller para garantir dados corretos e conformidade.</t>
  </si>
  <si>
    <t>Desserialização JSON feita automaticamente via [FromBody] em modelos fortemente tipados, o que limita a superfície para ataques. Configuração padrão do System.Text.Json previne tipos arbitrários.</t>
  </si>
  <si>
    <t>System.Text.Json/ASP.NET Core</t>
  </si>
  <si>
    <t>ProductOfferController.cs: [HttpPost] public IActionResult CreateProductOffer([FromBody] ProductOffer productOffer) { ... }
Program.cs: builder.Services.AddControllers().AddJsonOptions(...)</t>
  </si>
  <si>
    <t>Validações e restrições feitas no backend, garantindo que todos os dados recebidos são verificados antes do processamento</t>
  </si>
  <si>
    <t>if (ModelState.IsValid) em AccountController.cs; if (productOffer == null) em ProductOfferController.cs; if (subscription.ExpectedQuantity &lt;= 0) em SubscriptionController.cs; [Authorize(Roles = nameof(UserType.Producer))] em vários controllers; if (!Enum.IsDefined(typeof(PaymentType), subscription.PaymentType)) em SubscriptionController.cs</t>
  </si>
  <si>
    <t>O backend apenas serializa dados para JSON, sem gerar HTML; a codificação de saída para XSS deve ser feita no frontend</t>
  </si>
  <si>
    <t>return Ok(obj) em vários controllers; uso de JSON serialization padrão (System.Text.Json/Newtonsoft.Json)</t>
  </si>
  <si>
    <t xml:space="preserve"> Implementar o ASP.NET Core Data Protection com persistência das chaves no Azure Key Vault, garantindo que todas as chaves criptográficas usadas pela aplicação são geridas, protegidas e rotacionadas automaticamente conforme as melhores práticas do NIST.</t>
  </si>
  <si>
    <t>Recomendada a externalização de todos os segredos sensíveis (como connection strings, passwords e chaves de API) para um serviço seguro, como o Azure Key Vault. A aplicação deve ser configurada para aceder a estes segredos de forma automática e segura, utilizando, por exemplo, o método builder.Configuration.AddAzureKeyVault(...) no ficheiro Program.cs</t>
  </si>
  <si>
    <t>Necessário externalizar as chaves e segredos sensíveis para um cofre seguro, como o Azure Key Vault, permitindo a sua rotação sem necessidade de alterar o código. Além disso, deve ser implementado um processo formal e documentado para a rotação periódica dessas chaves e para a re-encriptação dos dados sensíveis sempre que uma chave for substituída.</t>
  </si>
  <si>
    <t>Autenticação e autorização feitas apenas no backend (ex: [Authorize], ASP.NET Identity)</t>
  </si>
  <si>
    <t>ASP.NET Identity</t>
  </si>
  <si>
    <t>Não há segredos armazenados ou utilizados no frontend; toda a proteção de dados é feita de forma segura no backend.</t>
  </si>
  <si>
    <t>Necessário adicionar e utilizar o serviço ILogger&lt;T&gt; do ASP.NET Core em todos os controladores e serviços do projeto, garantindo que todas as operações relevantes sejam registadas de forma estruturada e consistente.</t>
  </si>
  <si>
    <t>Adicionar e configurar o Serilog (ou outro logger estruturado) para enviar logs via HTTPS para um sistema remoto (ex: Seq, ELK, Splunk), garantindo que o endpoint remoto está protegido e que toda a transmissão dos logs é cifrada.</t>
  </si>
  <si>
    <t xml:space="preserve"> Passwords protegidas pelo ASP.NET Identity; autenticação e sessão via cookies seguros; dados pessoais em entidades como AppUser </t>
  </si>
  <si>
    <t xml:space="preserve"> ASP.NET Identity /Documentation</t>
  </si>
  <si>
    <t>AppUser</t>
  </si>
  <si>
    <t>Hashing de passwords pelo ASP.NET Identity; configuração de HTTPS no Program.cs</t>
  </si>
  <si>
    <t>Requisitos de cifragem e comunicação segura aplicados</t>
  </si>
  <si>
    <t>Identity/Documentation</t>
  </si>
  <si>
    <t>app.UseHttpsRedirection() no Program.cs; string de ligação da base de dados pode ser configurada com Encrypt=True</t>
  </si>
  <si>
    <t>HTTPS garante cifragem nas comunicações externas; ligação à base de dados deve ser ajustada para usar encriptação</t>
  </si>
  <si>
    <t>Uso padrão de HTTPS no Kestrel/ASP.NET Core</t>
  </si>
  <si>
    <t>Certificados TLS são validados automaticamente</t>
  </si>
  <si>
    <t>O projeto utiliza Git com repositório remoto no GitHub, cada membro tem conta identificável, os commits podem ser associados a issues e todas as alterações passam por pull requests, garantindo rastreabilidade, revisão e controlo de acesso.</t>
  </si>
  <si>
    <t>API documentada automaticamente via Swagger; controllers organizados por função de negócio/segurança; README com documentação relevante sobre arquitetura, fluxos e componentes do sistema</t>
  </si>
  <si>
    <t>Swagger + Controllers + README(Relatorio)</t>
  </si>
  <si>
    <t>ASP.NET Identity, Cookies, Injeção de Dependências</t>
  </si>
  <si>
    <t>Autenticação e sessões isoladas por utilizador; serviços críticos registados como Scoped, evitando partilha de estado; Singletons não armazenam dados sensíveis</t>
  </si>
  <si>
    <t>builder.Services.AddScoped&lt;...&gt;() e builder.Services.AddSingleton&lt;EmailSender&gt;() no Program.cs</t>
  </si>
  <si>
    <t>ASP.NET Core Controllers, Identity</t>
  </si>
  <si>
    <t>Endpoints críticos são isolados por request; não há partilha de estado mutável; framework garante thread-safety; monitorizar futuros acessos a recursos partilhados</t>
  </si>
  <si>
    <t xml:space="preserve"> Uso padrão de controllers e serviços Scoped no Program.cs; autenticação e permissões via ASP.NET Identity</t>
  </si>
  <si>
    <t xml:space="preserve"> Ficheiros não são renderizados, apenas servidos como download com tipo MIME apropriado; não há preview direto</t>
  </si>
  <si>
    <t>Exemplo: return File(fileContent, contentType, fileName); em ProductController</t>
  </si>
  <si>
    <t xml:space="preserve"> Backend com endpoints bem definidos, permitindo aplicação de regras de firewall, proxies reversos e segmentação de rede em produção</t>
  </si>
  <si>
    <t>Deploy feito por pipeline autenticada, com análise de dependências e acesso seguro a segredos;</t>
  </si>
  <si>
    <t>GitHub Actions CI/CD</t>
  </si>
  <si>
    <t>Exemplo: uses: actions/checkout@v3, dotnet restore, dependency-check/Dependency-Check_Action@main na pipeline</t>
  </si>
  <si>
    <t>GitHub Dependabot + OWASP Dependency-Check</t>
  </si>
  <si>
    <t xml:space="preserve">Dependabot alerta para dependências inseguras; pipeline executa análise automática de vulnerabilidades com OWASP Dependency-Check </t>
  </si>
  <si>
    <t>Etapa Run SCA (OWASP Dependency Check) e dependency-check/Dependency-Check_Action@main na pipeline</t>
  </si>
  <si>
    <t>Adicionar scripts de infraestrutura como código (ex: ARM, Bicep, Terraform) para definir e provisionar o ambiente Azure, e incluir na pipeline etapas de validação automática dessas configurações (ex: az bicep build, terraform validate, ou ferramentas de segurança como Checkov ou AzSK) para garantir que o deployment é seguro e conforme as melhores práticas.</t>
  </si>
  <si>
    <t xml:space="preserve"> Deploy em ambiente Azure isolado, com possibilidade de segmentação de rede; recomenda-se reforçar isolamento para operações sensíveis</t>
  </si>
  <si>
    <t xml:space="preserve">Azure App Service </t>
  </si>
  <si>
    <t>Diogo/Pedros</t>
  </si>
  <si>
    <t>Não utiliza nem serve tecnologias cliente obsoletas ou inseguras; apenas expõe APIs RESTful modernas</t>
  </si>
  <si>
    <t xml:space="preserve">The AMAP application stores personally identifiable information (PII) of users (e.g., names, emails), so encryption at rest is essential to comply with GDPR and protect against data exposure in the event of unauthorized access to the database (risks 3.1 I, 5.1 I).
</t>
  </si>
  <si>
    <t>ASP.NET Core Identity already allows Unicode characters by default, so we don't need to add specific validation for this</t>
  </si>
  <si>
    <t>Análise manual do Program.cs</t>
  </si>
  <si>
    <t>No Program.cs a aplicação não utiliza UseDirectoryBrowser(), logo a navegação de diretórios está desativada por defeito.</t>
  </si>
  <si>
    <t>A funcionalidade de listagem de diretórios (UseDirectoryBrowser) não está ativada no Program.cs</t>
  </si>
  <si>
    <t>Falta qualquer “step-up” ou autorização adaptativa para operações sensíveis e não há segregação de funções para operações de alto risco.</t>
  </si>
  <si>
    <t>Análise manual do Program.cs e do AccountController.cs</t>
  </si>
  <si>
    <t>//Progam.cs                                               // Configuração das roles de autorização – apenas roles, sem step-up ou MFA adicional
builder.Services.AddAuthorization(options =&gt;
{
    options.AddPolicy("Manager",   policy =&gt; policy.RequireRole("Manager"));
    options.AddPolicy("Producer",  policy =&gt; policy.RequireRole("Producer"));
    options.AddPolicy("CoProducer",policy =&gt; policy.RequireRole("CoProducer"));
});</t>
  </si>
  <si>
    <t>Program.cs:65 - options.Password.RequiredLength = 12;
RegisterViewModel.cs:15 - [StringLength(128, MinimumLength = 12)]
ChangePasswordViewModel.cs:12 - [StringLength(128, MinimumLength = 12)]</t>
  </si>
  <si>
    <t>Program.cs:162-169 - CustomPasswordValidator verifica password.Length &gt; 128
RegisterViewModel.cs:15 - [StringLength(128, MinimumLength = 12)]
ChangePasswordViewModel.cs:12 - [StringLength(128, MinimumLength = 12)]</t>
  </si>
  <si>
    <t>Program.cs:173 - var normalizedPassword = Regex.Replace(password, @"\s+", " ");
Program.cs:174-181 - Verifica normalizedPassword.Length &lt; 12 após normalização</t>
  </si>
  <si>
    <t>AccountController.cs:106-145 - Método ChangePassword implementado
[HttpPost("change-password")] e [Authorize] para proteger o endpoint</t>
  </si>
  <si>
    <t>ChangePasswordViewModel.cs:6-13 - Campos CurrentPassword e NewPassword obrigatórios
AccountController.cs:125 - _userManager.ChangePasswordAsync(user, model.CurrentPassword, model.NewPassword)</t>
  </si>
  <si>
    <t>A aplicação não envia tokens na URL (usa cookies HTTP-only para a sessão) e não expõe tokens em mensagens de erro (responde com 401 sem redirecionar nem revelar detalhes).</t>
  </si>
  <si>
    <t>ASP.NET Core + Identity</t>
  </si>
  <si>
    <t>//Program.cs                                  Gerido automaticamente por:
.AddDefaultTokenProviders()
e pelo middleware UseAuthentication()</t>
  </si>
  <si>
    <t>O ASP.NET Core gera automaticamente um novo cookie/token seguro após login. Nenhum cookie de sessão é reutilizado entre sessões.</t>
  </si>
  <si>
    <t>//Program.cs                                Gerado internamente por DataProtectionTokenProvider&lt;TUser&gt; e cookies seguros (.AddDefaultTokenProviders())</t>
  </si>
  <si>
    <t>Os cookies de autenticação usam tokens com entropia adequada (&gt;= 64 bits), conforme a especificação do .NET. Não é necessário gerar manualmente.</t>
  </si>
  <si>
    <t>//Program.cs   options.Cookie.HttpOnly = true;
options.Cookie.SecurePolicy = CookieSecurePolicy.Always;
options.Cookie.SameSite = SameSiteMode.Strict;</t>
  </si>
  <si>
    <t>//Program.cs   options.Cookie.HttpOnly = true;
options.Cookie.SecurePolicy = CookieSecurePolicy.Always;
context.Response.StatusCode = 401;</t>
  </si>
  <si>
    <t>A sessão é armazenada com cookies HttpOnly e Secure, o que evita acesso via JavaScript e exige HTTPS.</t>
  </si>
  <si>
    <t>ASP.NET Core</t>
  </si>
  <si>
    <t>//Program.cs                           Implementado por default com o sistema de DataProtection do ASP.NET Core
e AddDefaultTokenProviders()</t>
  </si>
  <si>
    <t>O ASP.NET utiliza algoritmos seguros (ex: AES-256 + HMACSHA256) para gerar e proteger tokens. Não há necessidade de implementação manual.</t>
  </si>
  <si>
    <t>ASP.NET Core + Data Protection API</t>
  </si>
  <si>
    <t>//Program.cs	                   await _signInManager.SignOutAsync();
e
options.ExpireTimeSpan, SlidingExpiration</t>
  </si>
  <si>
    <t xml:space="preserve"> O método SignOutAsync() limpa o cookie de autenticação e a sessão expira corretamente. Após logout, não é possível retomar sessão com o botão voltar.</t>
  </si>
  <si>
    <t>//Program.cs  options.ExpireTimeSpan = TimeSpan.FromMinutes(30);
SlidingExpiration = true/false</t>
  </si>
  <si>
    <t>O tempo de sessão pode ser ajustado para cumprir os níveis L1–L3. A reautenticação pode ser forçada após X minutos de inatividade.</t>
  </si>
  <si>
    <t>O atributo Secure é corretamente definido, impedindo envio do cookie por HTTP.</t>
  </si>
  <si>
    <t>//Program.cs  options.Cookie.SecurePolicy = CookieSecurePolicy.Always;</t>
  </si>
  <si>
    <t>//Program.cs  options.Cookie.HttpOnly = true;</t>
  </si>
  <si>
    <t xml:space="preserve"> O cookie é marcado como HttpOnly, prevenindo roubo via XSS.</t>
  </si>
  <si>
    <t>//Program.cs options.Cookie.SameSite = SameSiteMode.Strict;</t>
  </si>
  <si>
    <t>SameSite pode ser configurado conforme o risco e necessidade (ex: Strict ou Lax).</t>
  </si>
  <si>
    <t>//Program.cs builder.Services.ConfigureApplicationCookie(options =&gt;
{
    options.Cookie.HttpOnly = true;
    options.Cookie.SecurePolicy = CookieSecurePolicy.Always;
    options.SlidingExpiration = true;
    ...
});</t>
  </si>
  <si>
    <t>Tokens de sessão e cookies são protegidos via configurações do Identity e HTTPS.</t>
  </si>
  <si>
    <t>ASP.NET Core Identity + Cookies</t>
  </si>
  <si>
    <t>//Program.cs builder.Services.AddIdentity&lt;AppUser, IdentityRole&gt;(...)
    .AddEntityFrameworkStores&lt;AppDbContext&gt;()
    .AddDefaultTokenProviders();</t>
  </si>
  <si>
    <t>Usa AddDefaultTokenProviders para gerar tokens temporários e seguros, evitando segredos estáticos.</t>
  </si>
  <si>
    <t>A aplicação protege endpoints com autenticação (UseAuthentication) e autorização (UseAuthorization), o que impede acessos não autenticados. No entanto, não implementa reautenticação ou verificação explícita da validade da sessão antes de ações críticas como alteração de dados de conta.</t>
  </si>
  <si>
    <t>//Program.cs app.UseAuthentication();
app.UseAuthorization();</t>
  </si>
  <si>
    <t>A aplicação utiliza ASP.NET Identity para gestão de passwords, que trata erros de forma segura. No entanto, não há evidência de tratamento específico para falhas criptográficas.</t>
  </si>
  <si>
    <t>// Em AMAP_API\Controllers\AccountController.cs
[HttpPost("login")]
[AllowAnonymous]
public async Task&lt;IActionResult&gt; Login([FromBody] LoginViewModel loginViewModel)
{
    if (ModelState.IsValid)
    {
        var result = await _signInManager.PasswordSignInAsync(loginViewModel.Email, loginViewModel.Password, loginViewModel.RememberMe, lockoutOnFailure: true);
        if (result.Succeeded)
        {
            var user = await _userManager.FindByEmailAsync(loginViewModel.Email);
            if (user == null)
            {
                return Unauthorized(new { message = "User not found" });
            }
            // Obtem as roles dos users
            var roles = await _userManager.GetRolesAsync(user);
            return Ok(new
            {
                message = "Login successful",
                userId = user.Id,
                role = roles.FirstOrDefault()
            });
        }
        if (result.IsLockedOut)
        {
            return StatusCode(423, new { message = "Account locked" });
        }
        else
        {
            return Unauthorized(new { message = "Invalid login attempt" });
        }
    }
    return BadRequest(ModelState);
}</t>
  </si>
  <si>
    <t>// Em AMAP_API\Program.cs - Configuração do Identity
builder.Services.AddIdentity&lt;AppUser, IdentityRole&gt;(options =&gt; 
{
    options.Password.RequiredLength = 12; // Min length 12 chars
    options.Password.RequireDigit = true;
    options.Password.RequireLowercase = true;
    options.Password.RequireUppercase = true;
    options.Password.RequireNonAlphanumeric = true;
    // Lockout settings
    options.Lockout.DefaultLockoutTimeSpan = TimeSpan.FromMinutes(15);
    options.Lockout.MaxFailedAccessAttempts = 5;
    options.Lockout.AllowedForNewUsers = true;
    // User settings
    options.User.RequireUniqueEmail = true;
})
.AddEntityFrameworkStores&lt;AppDbContext&gt;()
.AddDefaultTokenProviders()
.AddPasswordValidator&lt;CustomPasswordValidator&lt;AppUser&gt;&gt;();</t>
  </si>
  <si>
    <t>A aplicação usa ASP.NET Core Identity, que utiliza algoritmos padrão como PBKDF2 para hash de passwords.</t>
  </si>
  <si>
    <t>ASP.NET Identity permite atualizar o algoritmo de hashing, mas não há suporte explícito para atualização de outros parâmetros criptográficos.</t>
  </si>
  <si>
    <t>// Em AMAP_API\Program.cs
// Este trecho não está explícito no código fornecido, mas é possível adicionar:
// Exemplo de como seria a configuração de opções do password hasher
builder.Services.Configure&lt;PasswordHasherOptions&gt;(options =&gt;
{
    options.IterationCount = 310000; // Aumentar o número de iterações
    options.CompatibilityMode = PasswordHasherCompatibilityMode.IdentityV3; // Versão mais recente
});</t>
  </si>
  <si>
    <t>// Em AMAP_API\Program.cs
// A configuração do Identity, conforme mostrada acima, utiliza o PasswordHasher 
// que implementa PBKDF2-SHA256 por padrão, que é considerado seguro
builder.Services.AddIdentity&lt;AppUser, IdentityRole&gt;(options =&gt; 
{
    // Configurações de segurança de senha
})
.AddEntityFrameworkStores&lt;AppDbContext&gt;()
.AddDefaultTokenProviders();</t>
  </si>
  <si>
    <t>Não foi identificado o uso de algoritmos fracos. O sistema usa PBKDF2 através do ASP.NET Identity, que é seguro.</t>
  </si>
  <si>
    <t>A aplicação usa Guid.NewGuid() para gerar nomes de ficheiros únicos em ProductBc.cs (linha 296), o que é seguro (GUID v4), mas não utiliza explicitamente RandomNumberGenerator noutros casos.</t>
  </si>
  <si>
    <t>A aplicação utiliza Guid.NewGuid(), que gera GUIDs v4 com base em valores criptograficamente seguros.</t>
  </si>
  <si>
    <t>// Em AMAP.Business\Components\ProductBc.cs (linha 296)
// Geração de um nome de arquivo único usando GUID v4
string uniqueFileName = $"{Guid.NewGuid()}_{safeFileName}";</t>
  </si>
  <si>
    <t>System.Guid (classe padrão do .NET Framework)</t>
  </si>
  <si>
    <t>// Em AMAP_API\AMAP.Api.csproj
&lt;PropertyGroup&gt;
  &lt;TargetFramework&gt;net9.0&lt;/TargetFramework&gt;
  &lt;Nullable&gt;enable&lt;/Nullable&gt;
  &lt;ImplicitUsings&gt;enable&lt;/ImplicitUsings&gt;
  &lt;UserSecretsId&gt;2399dae3-8ae7-46c0-9bd6-806ab88f52f5&lt;/UserSecretsId&gt;
&lt;/PropertyGroup&gt;</t>
  </si>
  <si>
    <t>// Em AMAP_API\Program.cs
builder.Services.AddIdentity&lt;AppUser, IdentityRole&gt;(options =&gt; 
{
    // Configurações de senha e segurança
})
.AddEntityFrameworkStores&lt;AppDbContext&gt;()
.AddDefaultTokenProviders();</t>
  </si>
  <si>
    <t>ASP.NET Core Identity Framework</t>
  </si>
  <si>
    <t>A aplicação usa o UserSecrets do .NET no projeto .csproj, adequado para desenvolvimento local.</t>
  </si>
  <si>
    <t>A aplicação usa o ASP.NET Core Identity, mas não utiliza um módulo externo para operações criptográficas – depende do mecanismo interno do framework.</t>
  </si>
  <si>
    <t>Microsoft.Extensions.Configuration.UserSecrets (ASP.NET Core Secret Manager)</t>
  </si>
  <si>
    <t>TwoFactorAuthController.cs: SendCredentialsChangeNotificationAsync()</t>
  </si>
  <si>
    <t>TwoFactorAuthController.cs: ValidateToken()</t>
  </si>
  <si>
    <t>TwoFactorAuthController.cs: TOTP implementation</t>
  </si>
  <si>
    <t>AccountController.cs: _logger.LogInformation/Warning</t>
  </si>
  <si>
    <t>[Authorize] nos controllers</t>
  </si>
  <si>
    <t>Business Logic that prevents actions without secondary validations, for example, PUT /api/Payment/{id}/validate flow.</t>
  </si>
  <si>
    <t>AMAP/AMAP_API/Program.cs (Session and authentication cookie configuration without response caching, and with HttpOnly, Secure and SameSite=Strict in production). &lt;br&gt; AMAP/AMAP_API/Controllers/AccountController.cs (No [ResponseCache] attribute on actions handling authentication and user data). &lt;br&gt; AMAP/AMAP_API/Controllers/PaymentsInfoController.cs (No [ResponseCache] attribute on actions returning financial information). &lt;br&gt; AMAP/AMAP_API/Controllers/PaymentController.cs (No [ResponseCache] attribute on actions handling payments).</t>
  </si>
  <si>
    <t>The application adequately protects sensitive data from being cached in server components such as load balancers and application caches. There are no cache control directives for sensitive API responses, and no cache control attributes are implemented on controller methods that handle sensitive data. The authentication cookie configurations (HttpOnly, Secure, SameSite=Strict in production) and session configurations ensure that sensitive data does not persist in cache.</t>
  </si>
  <si>
    <t>AMAP/AMAP_API/Program.cs (Configuration for session IdleTimeout and secure authentication cookie settings: HttpOnly, SecurePolicy.Always in production, SameSite.Strict in production). &lt;br&gt; AMAP/AMAP_API/Controllers/AccountController.cs (The LogOff action explicitly invalidates the user's authentication cookie and session upon logout).</t>
  </si>
  <si>
    <t>The application does not store sensitive data in response caches. Sensitive temporary data, primarily user sessions, are stored in server-side memory (IDistributedMemoryCache). These sessions are protected by secure authentication cookie settings (HttpOnly, SecurePolicy.Always in production, SameSite.Strict in production) which prevent unauthorized access. Sessions are automatically purged/invalidated after an IdleTimeout (100 minutes) or explicitly upon user logout, ensuring sensitive data does not persist unnecessarily.</t>
  </si>
  <si>
    <t>ASP.NET Core Identity's Cookie Authentication (ConfigureApplicationCookie options like HttpOnly, SecurePolicy, SameSite), Absence of [ResponseCache] attribute, Lack of explicit response caching middleware for sensitive endpoints.</t>
  </si>
  <si>
    <t>ASP.NET Core Session Management (AddDistributedMemoryCache, AddSession with IdleTimeout), ASP.NET Core Identity's Cookie Authentication (ConfigureApplicationCookie options like HttpOnly, SecurePolicy, SameSite), ASP.NET Core Identity's SignInManager.SignOutAsync().</t>
  </si>
  <si>
    <t>AMAP/AMAP_API/Program.cs (ASP.NET Core AddRateLimiter and UseRateLimiter middleware with FixedWindowLimiter partitioned by RemoteIpAddress; ASP.NET Core Identity's Lockout settings for MaxFailedAccessAttempts and DefaultLockoutTimeSpan; builder.Logging.AddFilter for LogLevel.Information on AccountController). &lt;br&gt; AMAP/AMAP_API/Logs/security-20250522.txt (Logging of login attempts, including UnauthorizedObjectResult and BadRequestObjectResult).</t>
  </si>
  <si>
    <t>The application now implements a global rate-limiting mechanism per IP address to protect against abnormal request volumes, including DoS attacks. Additionally, it maintains a lockout mechanism for user accounts based on failed login attempts. Extensive logging of requests, particularly from the AccountController, provides the necessary data for external monitoring and alerting systems to detect and notify of abnormal patterns.</t>
  </si>
  <si>
    <t>ASP.NET Core Rate Limiting (AddRateLimiter, UseRateLimiter, FixedWindowLimiter), ASP.NET Core Identity (LockoutEnabled, MaxFailedAccessAttempts, DefaultLockoutTimeSpan), ASP.NET Core Logging (Microsoft.Extensions.Logging).</t>
  </si>
  <si>
    <t>backup/README.md (Documentation outlining backup and restore procedures, including the recommendation to test restorations). backup/backup-database.ps1 (PowerShell script for performing full database backups with retention and logging). backup/restore-database.ps1 (PowerShell script for restoring the database from a backup file). backup/schedule-backup.ps1 (Implicitly supported by README.md instructions for Windows Task Scheduler).</t>
  </si>
  <si>
    <t>The project provides a set of PowerShell scripts and clear documentation (README.md) that enable the performance of regular database backups and, critically, facilitate the testing of these restorations. While the actual execution of these processes (regular backups and test restorations) depends on operational procedures and infrastructure configuration, the necessary tools and guidelines are present within the codebase.</t>
  </si>
  <si>
    <t>PowerShell scripts (.ps1), Documentation (Markdown).</t>
  </si>
  <si>
    <t>AMAP/AMAP_API/Controllers/PaymentsInfoController.cs ([ResponseCache(NoStore = true, Location = ResponseCacheLocation.None, Duration = 0)] attribute applied). &lt;br&gt; AMAP/AMAP_API/Controllers/AccountController.cs ([ResponseCache(NoStore = true, Location = ResponseCacheLocation.None, Duration = 0)] attribute applied). &lt;br&gt; AMAP/AMAP_API/Controllers/PaymentController.cs ([ResponseCache(NoStore = true, Location = ResponseCacheLocation.None, Duration = 0)] attribute applied).</t>
  </si>
  <si>
    <t>The application now explicitly sets anti-caching HTTP headers (e.g., Cache-Control: no-store, no-cache, Pragma: no-cache) for responses containing sensitive data by applying the [ResponseCache(NoStore = true, Location = ResponseCacheLocation.None, Duration = 0)] attribute to relevant controllers. This ensures that sensitive information is not cached by client browsers or intermediate proxies.</t>
  </si>
  <si>
    <t>ASP.NET Core [ResponseCache] attribute (NoStore, Location, Duration).</t>
  </si>
  <si>
    <t>The amap-ui/src/pages/LoginSignUp.js (Stores userId and userType in sessionStorage). The amap-ui/src/service/subscriptionService.js, amap-ui/src/service/productService.js, amap-ui/src/service/offerService.js (Read from sessionStorage). The amap-ui/src/components/Sidebar.js (Reads userType from sessionStorage, implements handleLogout to call backend logout, clear sessionStorage and localStorage, and redirect).</t>
  </si>
  <si>
    <t>Authenticated data (userId, userType, and authToken from sessionStorage) is now stored in sessionStorage, ensuring it is automatically cleared when the browser tab/window is closed. Furthermore, an explicit client-side logout mechanism has been implemented. Upon logout, a request is sent to the backend to invalidate the server-side session, and the sessionStorage (and localStorage for completeness) is explicitly cleared, preventing sensitive authenticated data from persisting on the client after session termination.</t>
  </si>
  <si>
    <t>Frontend sessionStorage API, JavaScript fetch API (for backend logout), JavaScript sessionStorage.clear(), JavaScript localStorage.clear().</t>
  </si>
  <si>
    <t>Além do limite de tamanho do ficheiro (5MB), também limitam o número de linhas e o tamanho de cada linha.</t>
  </si>
  <si>
    <t>No ProductController.cs (endpoint ImportProductsFromFile):        const long MaxFileSize = 5 * 1024 * 1024;
  if (file.Length &gt; MaxFileSize) {
      return BadRequest(new { message = $"File size exceeds the maximum limit..." });
  }                                                         No ProductBc.cs (método ImportProductsFromFile):        const int MaxLinesToProcess = 1000;
const int MaxLineLength = 1000;</t>
  </si>
  <si>
    <t>Não existe qualquer código para aceitar ou processar ficheiros comprimidos.</t>
  </si>
  <si>
    <t>Não existe qualquer controlo do número de ficheiros importados por utilizador, nem quota de espaço por utilizador.
O único controlo é por ficheiro individual (tamanho e linhas), mas não há limitação de quantos ficheiros um produtor pode importar ao longo do tempo.</t>
  </si>
  <si>
    <t>ProductController.cs (validação ContentType e extensão), ProductBc.cs (validação de formato linha a linha)</t>
  </si>
  <si>
    <t>O sistema valida que apenas ficheiros .txt são aceites e verifica o conteúdo linha a linha para garantir o formato esperado, rejeitando ficheiros que não cumpram o padrão. Assim, ficheiros de fontes não confiáveis são validados quanto ao tipo e conteúdo.</t>
  </si>
  <si>
    <t>No upload/importação, o nome do ficheiro submetido pelo utilizador não é usado diretamente para guardar ficheiros no servidor.</t>
  </si>
  <si>
    <t>No export, o nome do ficheiro é gerado pelo sistema:  var fileName = $"products_{cleanName}.txt";
  var cleanName = RemoveInvalidFileNameChars(rawName.Replace(" ", "_"));
(em ProductBc.cs, método ExportProductsToFile)
Função RemoveInvalidFileNameChars remove caracteres perigosos.</t>
  </si>
  <si>
    <t>O nome do ficheiro submetido é validado para extensão .txt e não é usado para criar ficheiros no servidor.</t>
  </si>
  <si>
    <t>Não há qualquer funcionalidade que inclua ficheiros remotos com base em nomes fornecidos pelo utilizador.
O nome do ficheiro é validado e não é usado para incluir/executar ficheiros.</t>
  </si>
  <si>
    <t>No endpoint de exportação, o nome do ficheiro é fixo e controlado pelo sistema:        return File(fileContent, contentType, fileName);    fileName é gerado pelo sistema, não pelo utilizador.
contentType é "text/plain".</t>
  </si>
  <si>
    <t>Não há uso de metadados de ficheiros fornecidos pelo utilizador em comandos do sistema operativo ou APIs sensíveis. Todos os nomes de ficheiros são validados e/ou gerados pelo sistema.</t>
  </si>
  <si>
    <t>O projeto utiliza apenas dependências NuGet oficiais e não executa código de fontes não confiáveis.Não há inclusão dinâmica de DLLs, npm, ou bibliotecas externas não verificadas.</t>
  </si>
  <si>
    <t>Não existe qualquer integração ou chamada a antivírus/scanner no processo de upload/importação de ficheiros. Apenas é feita validação de formato e conteúdo, mas não há verificação contra malware.</t>
  </si>
  <si>
    <t>Os ficheiros importados (uploads) são processados em memória e não são guardados no servidor (apenas lidos e processados).Os ficheiros exportados são guardados numa pasta (ExportedProducts) que, pelo código, pode estar dentro do diretório da aplicação (potencialmente acessível via web root).Não há evidência explícita de configuração para garantir que ficheiros de uploads/exports são armazenados fora do web root ou com permissões restritas.</t>
  </si>
  <si>
    <t>O endpoint de exportação só gera ficheiros .txt para download, mas não há configuração explícita no servidor para bloquear outros tipos de ficheiros (ex: .bak, .zip, .swp, etc.). Não há evidência de configuração de whitelist de extensões a nível do servidor web (IIS/Kestrel/Nginx/etc).Ficheiros exportados são servidos diretamente via endpoint, mas se outros ficheiros existirem no web root, podem ser acedidos.</t>
  </si>
  <si>
    <t>Os ficheiros exportados são servidos com content-type "text/plain" e nomes controlados pelo sistema:  return File(fileContent, contentType, fileName);</t>
  </si>
  <si>
    <t xml:space="preserve"> O sistema não faz upload de ficheiros para servir diretamente ao browser; apenas importa ficheiros .txt para processamento interno.Não há upload de ficheiros HTML/JS, nem endpoint que permita servir ficheiros arbitrários.</t>
  </si>
  <si>
    <t>O sistema AMAP não faz requisições a recursos externos (não faz download de ficheiros nem requests a outros sistemas a partir do backend). Não há funcionalidades de SSRF (Server-Side Request Forgery) possíveis no código analisado.</t>
  </si>
  <si>
    <t>Os fluxos de negócio (ex: subscrição, pagamento, aceitação de termos) são processados em ordem sequencial, com validações em cada etapa (ex: não é possível validar pagamento sem subscrição ativa).</t>
  </si>
  <si>
    <t>Não existe controlo de tempo mínimo entre passos (ex: não há throttling ou delays para evitar automação rápida).</t>
  </si>
  <si>
    <t>Existem limites por utilizador em várias operações (ex: não é possível criar produtos duplicados, validação de permissões por role, etc.).</t>
  </si>
  <si>
    <t>O projeto implementa rate limiting global:   builder.Services.AddRateLimiter(rateLimiterOptions =&gt; { ... });</t>
  </si>
  <si>
    <t>Limites de tamanho e quantidade em uploads/importações.</t>
  </si>
  <si>
    <t>Não há mecanismos explícitos para evitar condições de corrida (race conditions) em operações sensíveis (ex: locking transacional, verificação de estado imediatamente antes de operações críticas).</t>
  </si>
  <si>
    <t>Não há registo ou alerta para tentativas de manipular o fluxo de negócio (ex: aceitar termos antes de subscrever, validar pagamento sem subscrição, etc.).</t>
  </si>
  <si>
    <t>O OWASP ZAP está integrado na pipeline CI/CD, o que permite detetar ataques automáticos e vulnerabilidades durante o ciclo de desenvolvimento.</t>
  </si>
  <si>
    <t>SonarCloud, Snyl</t>
  </si>
  <si>
    <t>.github/workflows/main.yml (pipeline CI/CD)
Secção do relatório sobre análise estática (SonarCloud, Snyk)</t>
  </si>
  <si>
    <t>O projeto AMAP utiliza ferramentas de análise estática de código, nomeadamente SonarCloud e Snyk, integradas na pipeline CI/CD.d into the CI/CD pipeline.</t>
  </si>
  <si>
    <t xml:space="preserve"> SonarCloud e Snyk</t>
  </si>
  <si>
    <t>O código não contém funcionalidades de "phone home" ou recolha de dados não autorizada. Não há bibliotecas de telemetria ou tracking não documentadas.</t>
  </si>
  <si>
    <t>A aplicação é backend/web e não acede a sensores, contactos, câmara, microfone ou localização.</t>
  </si>
  <si>
    <t>Não existem contas ou chaves hardcoded, nem funcionalidades ocultas..</t>
  </si>
  <si>
    <t>SonarCloud e Snyk</t>
  </si>
  <si>
    <t>Não existem funções de "time bomb" ou código que execute ações maliciosas com base em datas.</t>
  </si>
  <si>
    <t>SonarCloud</t>
  </si>
  <si>
    <t>Não há código malicioso, bypasses lógicos ou "logic bombs".</t>
  </si>
  <si>
    <t>SonarCloud, Snyk</t>
  </si>
  <si>
    <t>Não existem "Easter eggs" ou funcionalidades não documentadas.</t>
  </si>
  <si>
    <t>O sistema AMAP não possui funcionalidade de auto-update (nem no cliente, nem no servidor).</t>
  </si>
  <si>
    <t>O sistema AMAP não depende de subdomínios, DNS dinâmico, buckets cloud ou recursos externos configuráveis.</t>
  </si>
  <si>
    <t>O projeto só utiliza dependências oficiais do NuGet, não carrega código de fontes externas dinâmicas.</t>
  </si>
  <si>
    <t>O projeto utiliza as bibliotecas padrão do .NET para parsing de URIs e ficheiros, garantindo comportamento consistente e seguro..Não há uso de múltiplos parsers ou encodings customizados.</t>
  </si>
  <si>
    <t>As URLs das APIs não expõem chaves, tokens de sessão ou dados sensíveis.Toda a informação sensível é transmitida em headers ou no corpo da requisição, nunca na URL.</t>
  </si>
  <si>
    <t>O projeto utiliza [Authorize] e roles nos controladores e métodos.Existem validações adicionais a nível de negócio/modelo para garantir permissões corretas.</t>
  </si>
  <si>
    <t>Os controladores validam o content-type dos pedidos (ex: só aceitam ficheiros .txt e content-type text/plain no upload).Pedidos com content-type inesperado são rejeitados com erro apropriado.</t>
  </si>
  <si>
    <t>O acesso a métodos sensíveis (DELETE, PUT) é protegido por [Authorize] e validação de roles.</t>
  </si>
  <si>
    <t>O projeto valida modelos via Data Annotations e ModelState, mas não utiliza validação formal de JSON Schema para os payloads recebidos.</t>
  </si>
  <si>
    <t>O ASP.NET Core Identity implementa proteção CSRF por omissão para endpoints que utilizam cookies.</t>
  </si>
  <si>
    <t>Os controladores validam o content-type dos pedidos (ex: só aceitam ficheiros .txt e content-type text/plain no upload, e application/json nos endpoints REST).</t>
  </si>
  <si>
    <t>O projeto força o uso de HTTPS/TLS para todas as comunicações, garantindo confidencialidade e integridade dos dados em trânsito.</t>
  </si>
  <si>
    <t>O sistema AMAP não expõe nem consome serviços SOAP/XML..</t>
  </si>
  <si>
    <t>O sistema AMAP não utiliza SOAP nem WS-Security.</t>
  </si>
  <si>
    <t>O sistema AMAP não utiliza GraphQL..</t>
  </si>
  <si>
    <t>O sistema AMAP não utiliza GraphQL.</t>
  </si>
  <si>
    <t>O projeto utiliza CI/CD automatizado (GitHub Actions), scripts de build e deploy, e gestão automatizada de configurações.</t>
  </si>
  <si>
    <t>O .NET por omissão ativa proteções de memória e warnings críticos.O pipeline de build falha em caso de erros graves ou warnings configurados como erros.</t>
  </si>
  <si>
    <t>O projeto segue recomendações de hardening do ASP.NET Core (ex: HTTPS obrigatório, cookies seguros, CORS restritivo, logging seguro).</t>
  </si>
  <si>
    <t>O deploy é automatizado via scripts e CI/CD.Existe documentação e scripts para restauro rápido a partir de backups.</t>
  </si>
  <si>
    <t>Não existe mecanismo explícito para verificação de integridade das configurações de segurança (ex: checksums, auditoria de alterações, etc.).</t>
  </si>
  <si>
    <t>O sistema AMAP não utiliza assets externos via CDN (nem JS, CSS, fontes externas).</t>
  </si>
  <si>
    <t>Todas as dependências são obtidas de repositórios oficiais (NuGet).</t>
  </si>
  <si>
    <t>O inventário de dependências é gerado automaticamente e documentado (ex: dotnet list package, relatórios Snyk/OWASP).</t>
  </si>
  <si>
    <t>As bibliotecas de terceiros são usadas apenas através das APIs públicas e seguras, sem exposição direta de funcionalidades desnecessárias.</t>
  </si>
  <si>
    <t>O ASP.NET Core, por omissão, não expõe headers com versões detalhadas do framework ou componentes.Não há código que adicione manualmente informações de versão nas respostas HTTP.</t>
  </si>
  <si>
    <t>Não há configuração explícita de header CSP nas respostas.</t>
  </si>
  <si>
    <t>Não há configuração explícita para adicionar o header X-Content-Type-Options: nosniff nas respostas.</t>
  </si>
  <si>
    <t>Não há configuração explícita do header Referrer-Policy nas respostas.</t>
  </si>
  <si>
    <t>Não há configuração explícita de X-Frame-Options ou Content-Security-Policy: frame-ancestors para prevenir embedding.</t>
  </si>
  <si>
    <t>O ASP.NET Core só aceita métodos definidos nos controladores/endpoints.Métodos não suportados devolvem 405 Method Not Allowed.Pre-flight OPTIONS é suportado para CORS.</t>
  </si>
  <si>
    <t>Os headers de autenticação (ex: Authorization: Bearer) são validados pelo middleware de autenticação do ASP.NET Core.Não há confiança cega em headers de proxies sem validação.</t>
  </si>
  <si>
    <t>O ASP.NET Core, por omissão, utiliza cipher suites fortes e recomendados.Não há configuração personalizada de cipher suites, mas o padrão é seguro para ambientes modernos.</t>
  </si>
  <si>
    <t>O ASP.NET Core suporta apenas TLS 1.2+ por omissão em ambientes modernos.Não há suporte para versões antigas/inseguras do TLS.</t>
  </si>
  <si>
    <t>O servidor utiliza TLS com certificados válidos em produção.Em desenvolvimento pode usar self-signed, mas em produção só certificados de CA confiáveis são aceites.</t>
  </si>
  <si>
    <t>Não há evidência de logging específico para falhas de ligação TLS a serviços backend.</t>
  </si>
  <si>
    <t>AMAP/AMAP_API/Program.cs (Standard ASP.NET Core configuration). AMAP/AMAP_API/Controllers/AccountController.cs (Example: [FromHeader(Name = "User-Agent")] in Login and LogOff methods, use of [FromBody] in Login method).</t>
  </si>
  <si>
    <t>ASP.NET Core's model binding inherently defends against parameter pollution by strictly mapping parameters to expected types and sources. Explicit use of [FromHeader] and [FromBody] attributes further strengthens these defenses.</t>
  </si>
  <si>
    <t>ASP.NET Core Model Binding, [FromHeader] attribute, [FromBody] attribute, ModelState.IsValid</t>
  </si>
  <si>
    <t>AMAP/AMAP_API/Controllers/AccountController.cs (Uses LoginViewModel, RegisterViewModel, ChangePasswordViewModel, ResetPasswordViewModel for input parameters).</t>
  </si>
  <si>
    <t>The application uses ViewModels/DTOs for input parameters, which is the recommended practice in ASP.NET Core to prevent mass assignment by only binding intended properties.</t>
  </si>
  <si>
    <t>ASP.NET Core Model Binding, Use of ViewModels/DTOs</t>
  </si>
  <si>
    <t>AMAP/AMAP.Models/ProductOffer.cs ([Range] on Price and Quantity). AMAP/AMAP.Models/Payment.cs ([Range] on AmountPaid).</t>
  </si>
  <si>
    <t>Numeric properties in data models now include [Range] attributes, ensuring values are within expected and safe numerical limits, preventing integer overflows from invalid input.</t>
  </si>
  <si>
    <t>ASP.NET Core Data Annotations ([Range])</t>
  </si>
  <si>
    <t>AMAP/AMAP_API/Controllers/*.cs (Use of strongly-typed ViewModels/DTOs, ASP.NET Core model binding, and System.Text.Json serialization). amap-ui/src/*.js (React frontend using JSX, which auto-escapes content).</t>
  </si>
  <si>
    <t>The application is a REST API (ASP.NET Core) without server-side templating (e.g., Razor). It uses strong model binding, DTOs, and JSON serialization (which escapes special characters). The React frontend (using JSX) also auto-escapes content.</t>
  </si>
  <si>
    <t>ASP.NET Core Model Binding, System.Text.Json, React (JSX)</t>
  </si>
  <si>
    <t>ASP.NET Core's default JSON serialization. React's JSX auto-escaping.</t>
  </si>
  <si>
    <t>The backend uses JSON serialization which automatically escapes special characters. The React frontend's JSX auto-escapes content rendered into HTML, preventing XSS.</t>
  </si>
  <si>
    <t>ASP.NET Core JSON Serialization, React (JSX)</t>
  </si>
  <si>
    <t>ASP.NET Core's default UTF-8 encoding for HTTP responses. React's Unicode-aware rendering.</t>
  </si>
  <si>
    <t>The backend serves UTF-8 encoded JSON responses, and the frontend (React) correctly handles and displays Unicode characters, ensuring character set and locale preservation.</t>
  </si>
  <si>
    <t>ASP.NET Core (UTF-8 encoding), React (Unicode support)</t>
  </si>
  <si>
    <t>Both backend (JSON serialization) and frontend (React JSX) use automated, context-aware output escaping to prevent reflected, stored, and DOM-based XSS attacks.</t>
  </si>
  <si>
    <t>AMAP/AMAP_API/Controllers/TwoFactorAuthController.cs (Enforces MFA for "Manager" role).</t>
  </si>
  <si>
    <t>MFA is implemented and enforced for users with the "Manager" role, who represent the administrative users of the application.</t>
  </si>
  <si>
    <t>ASP.NET Core Identity, Google.Authenticator library</t>
  </si>
  <si>
    <t>Password reset tokens: AccountController.cs — uso único via ResetPasswordAsync e VerifyUserTokenAsync (ASP.NET Identity).
MFA TOTP: TwoFactorAuthController.cs — uso único via ValidateTwoFactorPIN (TOTP).</t>
  </si>
  <si>
    <t xml:space="preserve"> TOTP can be reused during its validity period; there is no rejection, logging, or notification (TwoFactorAuthController.cs). Standard TOTP verification is implemented, allowing any valid code within the time window to be accepted. There is no mechanism to detect or prevent code reuse within the same period.</t>
  </si>
  <si>
    <t>Program.cs — PasswordHasherOptions: IdentityV3, IterationCount=100000 (linha com builder.Services.Configure&lt;PasswordHasherOptions&gt;).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</si>
</sst>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_€;\-#,##0.00,_€"/>
  </numFmts>
  <fonts count="18">
    <font>
      <sz val="10"/>
      <name val="Arial"/>
      <family val="2"/>
      <charset val="1"/>
    </font>
    <font>
      <sz val="16"/>
      <name val="Calibri"/>
      <family val="2"/>
      <charset val="1"/>
    </font>
    <font>
      <sz val="10"/>
      <name val="Calibri"/>
      <family val="2"/>
      <charset val="1"/>
    </font>
    <font>
      <b/>
      <sz val="16"/>
      <color rgb="FFE12D39"/>
      <name val="Calibri"/>
      <family val="2"/>
      <charset val="1"/>
    </font>
    <font>
      <sz val="16"/>
      <color rgb="FF102A43"/>
      <name val="Calibri"/>
      <family val="2"/>
      <charset val="1"/>
    </font>
    <font>
      <sz val="16"/>
      <color rgb="FFFFFFFF"/>
      <name val="Calibri"/>
      <family val="2"/>
      <charset val="1"/>
    </font>
    <font>
      <sz val="12"/>
      <color rgb="FF102A43"/>
      <name val="Calibri"/>
      <family val="2"/>
      <charset val="1"/>
    </font>
    <font>
      <sz val="10"/>
      <color rgb="FF102A43"/>
      <name val="Calibri"/>
      <family val="2"/>
      <charset val="1"/>
    </font>
    <font>
      <sz val="14"/>
      <color rgb="FFFFFFFF"/>
      <name val="Calibri"/>
      <family val="2"/>
      <charset val="1"/>
    </font>
    <font>
      <sz val="12"/>
      <name val="Calibri"/>
      <family val="2"/>
      <charset val="1"/>
    </font>
    <font>
      <sz val="10"/>
      <color rgb="FFFFFFFF"/>
      <name val="Calibri"/>
      <family val="2"/>
      <charset val="1"/>
    </font>
    <font>
      <sz val="10"/>
      <color rgb="FF000000"/>
      <name val="Calibri"/>
      <charset val="1"/>
    </font>
    <font>
      <sz val="12"/>
      <color rgb="FF242424"/>
      <name val="Calibri"/>
      <scheme val="minor"/>
    </font>
    <font>
      <sz val="12"/>
      <color rgb="FF102A43"/>
      <name val="Calibri"/>
    </font>
    <font>
      <sz val="12"/>
      <color rgb="FF102A43"/>
      <name val="Noto Sans CJK SC"/>
    </font>
    <font>
      <sz val="16"/>
      <color rgb="FFFFFFFF"/>
      <name val="Calibri"/>
    </font>
    <font>
      <sz val="12"/>
      <color rgb="FF102A43"/>
      <name val="Calibri"/>
      <family val="2"/>
    </font>
    <font>
      <sz val="10"/>
      <name val="Calibri"/>
      <family val="2"/>
    </font>
  </fonts>
  <fills count="14">
    <fill>
      <patternFill patternType="none"/>
    </fill>
    <fill>
      <patternFill patternType="gray125"/>
    </fill>
    <fill>
      <patternFill patternType="solid">
        <fgColor rgb="FF9FB3C8"/>
        <bgColor rgb="FFA4C1FF"/>
      </patternFill>
    </fill>
    <fill>
      <patternFill patternType="solid">
        <fgColor rgb="FF486581"/>
        <bgColor rgb="FF334E68"/>
      </patternFill>
    </fill>
    <fill>
      <patternFill patternType="solid">
        <fgColor rgb="FFF0F4F8"/>
        <bgColor rgb="FFFFFFFF"/>
      </patternFill>
    </fill>
    <fill>
      <patternFill patternType="solid">
        <fgColor rgb="FFC7EA8F"/>
        <bgColor rgb="FFD9D9D9"/>
      </patternFill>
    </fill>
    <fill>
      <patternFill patternType="solid">
        <fgColor rgb="FFFAFA6A"/>
        <bgColor rgb="FFC7EA8F"/>
      </patternFill>
    </fill>
    <fill>
      <patternFill patternType="solid">
        <fgColor rgb="FF87EAF2"/>
        <bgColor rgb="FF99CCFF"/>
      </patternFill>
    </fill>
    <fill>
      <patternFill patternType="solid">
        <fgColor rgb="FFFFFFFF"/>
        <bgColor rgb="FFF0F4F8"/>
      </patternFill>
    </fill>
    <fill>
      <patternFill patternType="solid">
        <fgColor rgb="FFFFFF00"/>
        <bgColor indexed="64"/>
      </patternFill>
    </fill>
    <fill>
      <patternFill patternType="solid">
        <fgColor rgb="FFFF0000"/>
        <bgColor indexed="64"/>
      </patternFill>
    </fill>
    <fill>
      <patternFill patternType="solid">
        <fgColor theme="0"/>
        <bgColor indexed="64"/>
      </patternFill>
    </fill>
    <fill>
      <patternFill patternType="solid">
        <fgColor rgb="FF92D050"/>
        <bgColor indexed="64"/>
      </patternFill>
    </fill>
    <fill>
      <patternFill patternType="solid">
        <fgColor theme="5"/>
        <bgColor indexed="64"/>
      </patternFill>
    </fill>
  </fills>
  <borders count="47">
    <border>
      <left/>
      <right/>
      <top/>
      <bottom/>
      <diagonal/>
    </border>
    <border>
      <left/>
      <right/>
      <top style="thin">
        <color rgb="FF334E68"/>
      </top>
      <bottom style="thin">
        <color rgb="FF334E68"/>
      </bottom>
      <diagonal/>
    </border>
    <border>
      <left style="thin">
        <color rgb="FFBCCCDC"/>
      </left>
      <right style="thin">
        <color rgb="FFBCCCDC"/>
      </right>
      <top/>
      <bottom style="thin">
        <color rgb="FFBCCCDC"/>
      </bottom>
      <diagonal/>
    </border>
    <border>
      <left/>
      <right style="thin">
        <color rgb="FF334E68"/>
      </right>
      <top style="thin">
        <color rgb="FF334E68"/>
      </top>
      <bottom style="thin">
        <color rgb="FF334E68"/>
      </bottom>
      <diagonal/>
    </border>
    <border>
      <left style="thin">
        <color rgb="FF334E68"/>
      </left>
      <right style="thin">
        <color rgb="FFBCCCDC"/>
      </right>
      <top style="thin">
        <color rgb="FFBCCCDC"/>
      </top>
      <bottom style="thin">
        <color rgb="FFBCCCDC"/>
      </bottom>
      <diagonal/>
    </border>
    <border>
      <left style="thin">
        <color rgb="FFBCCCDC"/>
      </left>
      <right style="thin">
        <color rgb="FFBCCCDC"/>
      </right>
      <top style="thin">
        <color rgb="FFBCCCDC"/>
      </top>
      <bottom style="thin">
        <color rgb="FFBCCCDC"/>
      </bottom>
      <diagonal/>
    </border>
    <border>
      <left/>
      <right style="medium">
        <color rgb="FF334E68"/>
      </right>
      <top/>
      <bottom style="medium">
        <color rgb="FF334E68"/>
      </bottom>
      <diagonal/>
    </border>
    <border>
      <left style="medium">
        <color rgb="FF334E68"/>
      </left>
      <right style="medium">
        <color rgb="FF334E68"/>
      </right>
      <top/>
      <bottom style="medium">
        <color rgb="FF334E68"/>
      </bottom>
      <diagonal/>
    </border>
    <border>
      <left/>
      <right style="medium">
        <color rgb="FF334E68"/>
      </right>
      <top style="medium">
        <color rgb="FF334E68"/>
      </top>
      <bottom style="medium">
        <color rgb="FF334E68"/>
      </bottom>
      <diagonal/>
    </border>
    <border>
      <left style="medium">
        <color rgb="FF334E68"/>
      </left>
      <right style="medium">
        <color rgb="FF334E68"/>
      </right>
      <top style="medium">
        <color rgb="FF334E68"/>
      </top>
      <bottom style="medium">
        <color rgb="FF334E68"/>
      </bottom>
      <diagonal/>
    </border>
    <border>
      <left/>
      <right style="thin">
        <color rgb="FFBCCCDC"/>
      </right>
      <top/>
      <bottom style="thin">
        <color rgb="FFBCCCDC"/>
      </bottom>
      <diagonal/>
    </border>
    <border>
      <left style="thin">
        <color rgb="FFBCCCDC"/>
      </left>
      <right style="medium">
        <color rgb="FF243B53"/>
      </right>
      <top/>
      <bottom style="thin">
        <color rgb="FFBCCCDC"/>
      </bottom>
      <diagonal/>
    </border>
    <border>
      <left/>
      <right style="thin">
        <color rgb="FFBCCCDC"/>
      </right>
      <top style="thin">
        <color rgb="FFBCCCDC"/>
      </top>
      <bottom style="thin">
        <color rgb="FFBCCCDC"/>
      </bottom>
      <diagonal/>
    </border>
    <border>
      <left style="thin">
        <color rgb="FFBCCCDC"/>
      </left>
      <right style="medium">
        <color rgb="FF243B53"/>
      </right>
      <top style="thin">
        <color rgb="FFBCCCDC"/>
      </top>
      <bottom style="thin">
        <color rgb="FFBCCCDC"/>
      </bottom>
      <diagonal/>
    </border>
    <border>
      <left/>
      <right style="thin">
        <color rgb="FFBCCCDC"/>
      </right>
      <top style="thin">
        <color rgb="FFBCCCDC"/>
      </top>
      <bottom style="medium">
        <color rgb="FF243B53"/>
      </bottom>
      <diagonal/>
    </border>
    <border>
      <left style="thin">
        <color rgb="FFBCCCDC"/>
      </left>
      <right style="thin">
        <color rgb="FFBCCCDC"/>
      </right>
      <top style="thin">
        <color rgb="FFBCCCDC"/>
      </top>
      <bottom style="medium">
        <color rgb="FF243B53"/>
      </bottom>
      <diagonal/>
    </border>
    <border>
      <left style="thin">
        <color rgb="FFBCCCDC"/>
      </left>
      <right style="medium">
        <color rgb="FF243B53"/>
      </right>
      <top style="thin">
        <color rgb="FFBCCCDC"/>
      </top>
      <bottom style="medium">
        <color rgb="FF243B53"/>
      </bottom>
      <diagonal/>
    </border>
    <border>
      <left/>
      <right style="medium">
        <color rgb="FF243B53"/>
      </right>
      <top/>
      <bottom style="medium">
        <color rgb="FF243B53"/>
      </bottom>
      <diagonal/>
    </border>
    <border>
      <left style="medium">
        <color rgb="FF243B53"/>
      </left>
      <right style="medium">
        <color rgb="FF243B53"/>
      </right>
      <top style="hair">
        <color auto="1"/>
      </top>
      <bottom style="medium">
        <color rgb="FF243B53"/>
      </bottom>
      <diagonal/>
    </border>
    <border>
      <left/>
      <right style="medium">
        <color rgb="FF243B53"/>
      </right>
      <top style="medium">
        <color rgb="FF243B53"/>
      </top>
      <bottom style="medium">
        <color rgb="FF243B53"/>
      </bottom>
      <diagonal/>
    </border>
    <border>
      <left style="medium">
        <color rgb="FF243B53"/>
      </left>
      <right style="medium">
        <color rgb="FF243B53"/>
      </right>
      <top style="medium">
        <color rgb="FF243B53"/>
      </top>
      <bottom style="medium">
        <color rgb="FF243B53"/>
      </bottom>
      <diagonal/>
    </border>
    <border>
      <left style="medium">
        <color rgb="FF243B53"/>
      </left>
      <right style="thin">
        <color rgb="FFBCCCDC"/>
      </right>
      <top style="medium">
        <color rgb="FF243B53"/>
      </top>
      <bottom style="thin">
        <color rgb="FFBCCCDC"/>
      </bottom>
      <diagonal/>
    </border>
    <border>
      <left/>
      <right style="thin">
        <color rgb="FFBCCCDC"/>
      </right>
      <top style="medium">
        <color rgb="FF243B53"/>
      </top>
      <bottom style="thin">
        <color rgb="FFBCCCDC"/>
      </bottom>
      <diagonal/>
    </border>
    <border>
      <left style="thin">
        <color rgb="FFBCCCDC"/>
      </left>
      <right style="thin">
        <color rgb="FFBCCCDC"/>
      </right>
      <top style="medium">
        <color rgb="FF243B53"/>
      </top>
      <bottom style="thin">
        <color rgb="FFBCCCDC"/>
      </bottom>
      <diagonal/>
    </border>
    <border>
      <left style="thin">
        <color rgb="FFBCCCDC"/>
      </left>
      <right style="medium">
        <color rgb="FF243B53"/>
      </right>
      <top style="medium">
        <color rgb="FF243B53"/>
      </top>
      <bottom style="thin">
        <color rgb="FFBCCCDC"/>
      </bottom>
      <diagonal/>
    </border>
    <border>
      <left style="medium">
        <color rgb="FF243B53"/>
      </left>
      <right style="thin">
        <color rgb="FFBCCCDC"/>
      </right>
      <top style="thin">
        <color rgb="FFBCCCDC"/>
      </top>
      <bottom style="thin">
        <color rgb="FFBCCCDC"/>
      </bottom>
      <diagonal/>
    </border>
    <border>
      <left style="medium">
        <color rgb="FF243B53"/>
      </left>
      <right style="thin">
        <color rgb="FFBCCCDC"/>
      </right>
      <top style="thin">
        <color rgb="FFBCCCDC"/>
      </top>
      <bottom style="medium">
        <color rgb="FF243B53"/>
      </bottom>
      <diagonal/>
    </border>
    <border>
      <left style="medium">
        <color rgb="FF243B53"/>
      </left>
      <right style="medium">
        <color rgb="FF243B53"/>
      </right>
      <top/>
      <bottom style="medium">
        <color rgb="FF243B53"/>
      </bottom>
      <diagonal/>
    </border>
    <border>
      <left/>
      <right style="medium">
        <color auto="1"/>
      </right>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rgb="FF243B53"/>
      </left>
      <right style="thin">
        <color rgb="FFBCCCDC"/>
      </right>
      <top style="medium">
        <color auto="1"/>
      </top>
      <bottom style="thin">
        <color rgb="FFBCCCDC"/>
      </bottom>
      <diagonal/>
    </border>
    <border>
      <left style="thin">
        <color rgb="FFBCCCDC"/>
      </left>
      <right style="thin">
        <color rgb="FFBCCCDC"/>
      </right>
      <top style="medium">
        <color auto="1"/>
      </top>
      <bottom style="thin">
        <color rgb="FFBCCCDC"/>
      </bottom>
      <diagonal/>
    </border>
    <border>
      <left style="thin">
        <color rgb="FFBCCCDC"/>
      </left>
      <right style="medium">
        <color rgb="FF243B53"/>
      </right>
      <top style="medium">
        <color auto="1"/>
      </top>
      <bottom style="thin">
        <color rgb="FFBCCCDC"/>
      </bottom>
      <diagonal/>
    </border>
    <border>
      <left style="hair">
        <color auto="1"/>
      </left>
      <right style="medium">
        <color rgb="FF243B53"/>
      </right>
      <top/>
      <bottom style="medium">
        <color rgb="FF243B53"/>
      </bottom>
      <diagonal/>
    </border>
    <border>
      <left/>
      <right style="medium">
        <color auto="1"/>
      </right>
      <top/>
      <bottom style="medium">
        <color auto="1"/>
      </bottom>
      <diagonal/>
    </border>
    <border>
      <left/>
      <right style="medium">
        <color rgb="FF243B53"/>
      </right>
      <top style="medium">
        <color auto="1"/>
      </top>
      <bottom style="medium">
        <color rgb="FF243B53"/>
      </bottom>
      <diagonal/>
    </border>
    <border>
      <left style="medium">
        <color rgb="FF243B53"/>
      </left>
      <right style="medium">
        <color rgb="FF243B53"/>
      </right>
      <top style="medium">
        <color auto="1"/>
      </top>
      <bottom style="medium">
        <color rgb="FF243B53"/>
      </bottom>
      <diagonal/>
    </border>
    <border>
      <left style="medium">
        <color rgb="FF243B53"/>
      </left>
      <right/>
      <top style="medium">
        <color auto="1"/>
      </top>
      <bottom style="thin">
        <color rgb="FFBCCCDC"/>
      </bottom>
      <diagonal/>
    </border>
    <border>
      <left/>
      <right/>
      <top style="medium">
        <color auto="1"/>
      </top>
      <bottom style="thin">
        <color rgb="FFBCCCDC"/>
      </bottom>
      <diagonal/>
    </border>
    <border>
      <left/>
      <right style="medium">
        <color rgb="FF243B53"/>
      </right>
      <top style="medium">
        <color auto="1"/>
      </top>
      <bottom style="thin">
        <color rgb="FFBCCCDC"/>
      </bottom>
      <diagonal/>
    </border>
    <border>
      <left style="medium">
        <color rgb="FF243B53"/>
      </left>
      <right/>
      <top style="thin">
        <color rgb="FFBCCCDC"/>
      </top>
      <bottom style="thin">
        <color rgb="FFBCCCDC"/>
      </bottom>
      <diagonal/>
    </border>
    <border>
      <left/>
      <right/>
      <top style="thin">
        <color rgb="FFBCCCDC"/>
      </top>
      <bottom style="thin">
        <color rgb="FFBCCCDC"/>
      </bottom>
      <diagonal/>
    </border>
    <border>
      <left/>
      <right style="medium">
        <color rgb="FF243B53"/>
      </right>
      <top style="thin">
        <color rgb="FFBCCCDC"/>
      </top>
      <bottom style="thin">
        <color rgb="FFBCCCDC"/>
      </bottom>
      <diagonal/>
    </border>
    <border>
      <left style="medium">
        <color rgb="FF243B53"/>
      </left>
      <right/>
      <top style="thin">
        <color rgb="FFBCCCDC"/>
      </top>
      <bottom style="medium">
        <color rgb="FF243B53"/>
      </bottom>
      <diagonal/>
    </border>
    <border>
      <left/>
      <right/>
      <top style="thin">
        <color rgb="FFBCCCDC"/>
      </top>
      <bottom style="medium">
        <color rgb="FF243B53"/>
      </bottom>
      <diagonal/>
    </border>
    <border>
      <left/>
      <right style="medium">
        <color rgb="FF243B53"/>
      </right>
      <top style="thin">
        <color rgb="FFBCCCDC"/>
      </top>
      <bottom style="medium">
        <color rgb="FF243B53"/>
      </bottom>
      <diagonal/>
    </border>
  </borders>
  <cellStyleXfs count="1">
    <xf numFmtId="0" fontId="0" fillId="0" borderId="0"/>
  </cellStyleXfs>
  <cellXfs count="188">
    <xf numFmtId="0" fontId="0" fillId="0" borderId="0" xfId="0"/>
    <xf numFmtId="0" fontId="4" fillId="2" borderId="19" xfId="0" applyFont="1" applyFill="1" applyBorder="1" applyAlignment="1">
      <alignment horizontal="center" vertical="center" wrapText="1"/>
    </xf>
    <xf numFmtId="0" fontId="4" fillId="2" borderId="8" xfId="0" applyFont="1" applyFill="1" applyBorder="1" applyAlignment="1">
      <alignment vertical="center" wrapText="1"/>
    </xf>
    <xf numFmtId="0" fontId="1" fillId="0" borderId="0" xfId="0" applyFont="1"/>
    <xf numFmtId="0" fontId="2" fillId="0" borderId="0" xfId="0" applyFont="1"/>
    <xf numFmtId="0" fontId="3" fillId="2" borderId="1" xfId="0" applyFont="1" applyFill="1" applyBorder="1" applyAlignment="1">
      <alignment horizontal="center" wrapText="1"/>
    </xf>
    <xf numFmtId="0" fontId="4" fillId="2" borderId="2" xfId="0" applyFont="1" applyFill="1" applyBorder="1" applyAlignment="1">
      <alignment horizontal="center" wrapText="1"/>
    </xf>
    <xf numFmtId="0" fontId="5" fillId="0" borderId="0" xfId="0" applyFont="1" applyAlignment="1">
      <alignment horizontal="center" wrapText="1"/>
    </xf>
    <xf numFmtId="0" fontId="5" fillId="3" borderId="3" xfId="0" applyFont="1" applyFill="1" applyBorder="1"/>
    <xf numFmtId="0" fontId="6" fillId="4" borderId="4" xfId="0" applyFont="1" applyFill="1" applyBorder="1" applyAlignment="1">
      <alignment horizontal="center" wrapText="1"/>
    </xf>
    <xf numFmtId="0" fontId="6" fillId="4" borderId="5" xfId="0" applyFont="1" applyFill="1" applyBorder="1" applyAlignment="1">
      <alignment horizontal="center" wrapText="1"/>
    </xf>
    <xf numFmtId="164" fontId="6" fillId="4" borderId="5" xfId="0" applyNumberFormat="1" applyFont="1" applyFill="1" applyBorder="1" applyAlignment="1">
      <alignment horizontal="center" wrapText="1"/>
    </xf>
    <xf numFmtId="0" fontId="7" fillId="4" borderId="5" xfId="0" applyFont="1" applyFill="1" applyBorder="1"/>
    <xf numFmtId="0" fontId="8" fillId="0" borderId="0" xfId="0" applyFont="1" applyAlignment="1">
      <alignment horizontal="center" wrapText="1"/>
    </xf>
    <xf numFmtId="0" fontId="9" fillId="0" borderId="0" xfId="0" applyFont="1"/>
    <xf numFmtId="0" fontId="5" fillId="3" borderId="7" xfId="0" applyFont="1" applyFill="1" applyBorder="1" applyAlignment="1">
      <alignment horizontal="center" vertical="center" wrapText="1"/>
    </xf>
    <xf numFmtId="0" fontId="6" fillId="0" borderId="2" xfId="0" applyFont="1" applyBorder="1" applyAlignment="1">
      <alignment horizontal="center" vertical="center" wrapText="1"/>
    </xf>
    <xf numFmtId="0" fontId="6" fillId="0" borderId="2" xfId="0" applyFont="1" applyBorder="1" applyAlignment="1">
      <alignment horizontal="left" vertical="center" wrapText="1"/>
    </xf>
    <xf numFmtId="0" fontId="6" fillId="0" borderId="2" xfId="0" applyFont="1" applyBorder="1" applyAlignment="1">
      <alignment wrapText="1"/>
    </xf>
    <xf numFmtId="0" fontId="6" fillId="0" borderId="11" xfId="0" applyFont="1" applyBorder="1" applyAlignment="1">
      <alignment wrapText="1"/>
    </xf>
    <xf numFmtId="0" fontId="6" fillId="0" borderId="0" xfId="0" applyFont="1"/>
    <xf numFmtId="0" fontId="6" fillId="0" borderId="5" xfId="0" applyFont="1" applyBorder="1" applyAlignment="1">
      <alignment horizontal="center" vertical="center" wrapText="1"/>
    </xf>
    <xf numFmtId="0" fontId="6" fillId="0" borderId="5" xfId="0" applyFont="1" applyBorder="1"/>
    <xf numFmtId="0" fontId="6" fillId="0" borderId="5" xfId="0" applyFont="1" applyBorder="1" applyAlignment="1">
      <alignment horizontal="left" vertical="center" wrapText="1"/>
    </xf>
    <xf numFmtId="0" fontId="6" fillId="0" borderId="5" xfId="0" applyFont="1" applyBorder="1" applyAlignment="1">
      <alignment wrapText="1"/>
    </xf>
    <xf numFmtId="0" fontId="6" fillId="0" borderId="13" xfId="0" applyFont="1" applyBorder="1" applyAlignment="1">
      <alignment wrapText="1"/>
    </xf>
    <xf numFmtId="0" fontId="6" fillId="0" borderId="13" xfId="0" applyFont="1" applyBorder="1"/>
    <xf numFmtId="0" fontId="6" fillId="0" borderId="15" xfId="0" applyFont="1" applyBorder="1" applyAlignment="1">
      <alignment horizontal="center" vertical="center" wrapText="1"/>
    </xf>
    <xf numFmtId="0" fontId="6" fillId="0" borderId="15" xfId="0" applyFont="1" applyBorder="1"/>
    <xf numFmtId="0" fontId="6" fillId="0" borderId="15" xfId="0" applyFont="1" applyBorder="1" applyAlignment="1">
      <alignment horizontal="left" vertical="center" wrapText="1"/>
    </xf>
    <xf numFmtId="0" fontId="6" fillId="0" borderId="16" xfId="0" applyFont="1" applyBorder="1"/>
    <xf numFmtId="0" fontId="9" fillId="0" borderId="0" xfId="0" applyFont="1" applyAlignment="1">
      <alignment wrapText="1"/>
    </xf>
    <xf numFmtId="0" fontId="9" fillId="0" borderId="0" xfId="0" applyFont="1" applyAlignment="1">
      <alignment horizontal="center" wrapText="1"/>
    </xf>
    <xf numFmtId="0" fontId="5" fillId="3" borderId="17" xfId="0" applyFont="1" applyFill="1" applyBorder="1" applyAlignment="1">
      <alignment horizontal="center" vertical="center"/>
    </xf>
    <xf numFmtId="0" fontId="5" fillId="3" borderId="18" xfId="0" applyFont="1" applyFill="1" applyBorder="1" applyAlignment="1">
      <alignment horizontal="center" vertical="center" wrapText="1"/>
    </xf>
    <xf numFmtId="0" fontId="5" fillId="3" borderId="18" xfId="0" applyFont="1" applyFill="1" applyBorder="1" applyAlignment="1">
      <alignment horizontal="center" vertical="center"/>
    </xf>
    <xf numFmtId="0" fontId="5" fillId="0" borderId="0" xfId="0" applyFont="1" applyAlignment="1">
      <alignment horizontal="center" vertical="center"/>
    </xf>
    <xf numFmtId="0" fontId="6" fillId="2" borderId="20" xfId="0" applyFont="1" applyFill="1" applyBorder="1" applyAlignment="1">
      <alignment horizontal="center" vertical="center" wrapText="1"/>
    </xf>
    <xf numFmtId="0" fontId="6" fillId="6" borderId="21" xfId="0" applyFont="1" applyFill="1" applyBorder="1" applyAlignment="1">
      <alignment horizontal="center" vertical="center" wrapText="1"/>
    </xf>
    <xf numFmtId="0" fontId="6" fillId="0" borderId="22" xfId="0" applyFont="1" applyBorder="1" applyAlignment="1">
      <alignment horizontal="center" vertical="center" wrapText="1"/>
    </xf>
    <xf numFmtId="0" fontId="6" fillId="0" borderId="23" xfId="0" applyFont="1" applyBorder="1" applyAlignment="1">
      <alignment horizontal="center" vertical="center" wrapText="1"/>
    </xf>
    <xf numFmtId="0" fontId="6" fillId="0" borderId="23" xfId="0" applyFont="1" applyBorder="1" applyAlignment="1">
      <alignment horizontal="left" vertical="center" wrapText="1"/>
    </xf>
    <xf numFmtId="0" fontId="6" fillId="0" borderId="23" xfId="0" applyFont="1" applyBorder="1"/>
    <xf numFmtId="0" fontId="6" fillId="0" borderId="23" xfId="0" applyFont="1" applyBorder="1" applyAlignment="1">
      <alignment wrapText="1"/>
    </xf>
    <xf numFmtId="0" fontId="6" fillId="0" borderId="24" xfId="0" applyFont="1" applyBorder="1" applyAlignment="1">
      <alignment wrapText="1"/>
    </xf>
    <xf numFmtId="0" fontId="6" fillId="6" borderId="25" xfId="0" applyFont="1" applyFill="1" applyBorder="1" applyAlignment="1">
      <alignment horizontal="center" vertical="center" wrapText="1"/>
    </xf>
    <xf numFmtId="0" fontId="6" fillId="0" borderId="12" xfId="0" applyFont="1" applyBorder="1" applyAlignment="1">
      <alignment horizontal="center" vertical="center" wrapText="1"/>
    </xf>
    <xf numFmtId="0" fontId="6" fillId="7" borderId="25" xfId="0" applyFont="1" applyFill="1" applyBorder="1" applyAlignment="1">
      <alignment horizontal="center" vertical="center" wrapText="1"/>
    </xf>
    <xf numFmtId="0" fontId="6" fillId="5" borderId="25" xfId="0" applyFont="1" applyFill="1" applyBorder="1" applyAlignment="1">
      <alignment horizontal="center" vertical="center" wrapText="1"/>
    </xf>
    <xf numFmtId="0" fontId="6" fillId="5" borderId="26" xfId="0" applyFont="1" applyFill="1" applyBorder="1" applyAlignment="1">
      <alignment horizontal="center" vertical="center" wrapText="1"/>
    </xf>
    <xf numFmtId="0" fontId="6" fillId="0" borderId="14" xfId="0" applyFont="1" applyBorder="1" applyAlignment="1">
      <alignment horizontal="center" vertical="center" wrapText="1"/>
    </xf>
    <xf numFmtId="0" fontId="4" fillId="0" borderId="0" xfId="0" applyFont="1" applyAlignment="1">
      <alignment vertical="center" wrapText="1"/>
    </xf>
    <xf numFmtId="0" fontId="6" fillId="0" borderId="0" xfId="0" applyFont="1" applyAlignment="1">
      <alignment horizontal="center" wrapText="1"/>
    </xf>
    <xf numFmtId="0" fontId="5" fillId="3" borderId="27" xfId="0" applyFont="1" applyFill="1" applyBorder="1" applyAlignment="1">
      <alignment horizontal="center" vertical="center" wrapText="1"/>
    </xf>
    <xf numFmtId="0" fontId="5" fillId="3" borderId="27" xfId="0" applyFont="1" applyFill="1" applyBorder="1" applyAlignment="1">
      <alignment horizontal="center" vertical="center"/>
    </xf>
    <xf numFmtId="0" fontId="6" fillId="2" borderId="20" xfId="0" applyFont="1" applyFill="1" applyBorder="1" applyAlignment="1">
      <alignment horizontal="center" vertical="center"/>
    </xf>
    <xf numFmtId="0" fontId="6" fillId="6" borderId="21" xfId="0" applyFont="1" applyFill="1" applyBorder="1" applyAlignment="1">
      <alignment horizontal="center" vertical="center"/>
    </xf>
    <xf numFmtId="0" fontId="6" fillId="0" borderId="23" xfId="0" applyFont="1" applyBorder="1" applyAlignment="1">
      <alignment horizontal="center" vertical="center"/>
    </xf>
    <xf numFmtId="0" fontId="6" fillId="6" borderId="25" xfId="0" applyFont="1" applyFill="1" applyBorder="1" applyAlignment="1">
      <alignment horizontal="center" vertical="center"/>
    </xf>
    <xf numFmtId="0" fontId="6" fillId="0" borderId="5" xfId="0" applyFont="1" applyBorder="1" applyAlignment="1">
      <alignment horizontal="center" vertical="center"/>
    </xf>
    <xf numFmtId="0" fontId="6" fillId="5" borderId="25" xfId="0" applyFont="1" applyFill="1" applyBorder="1" applyAlignment="1">
      <alignment horizontal="center" vertical="center"/>
    </xf>
    <xf numFmtId="0" fontId="6" fillId="7" borderId="25" xfId="0" applyFont="1" applyFill="1" applyBorder="1" applyAlignment="1">
      <alignment horizontal="center" vertical="center"/>
    </xf>
    <xf numFmtId="0" fontId="6" fillId="6" borderId="26" xfId="0" applyFont="1" applyFill="1" applyBorder="1" applyAlignment="1">
      <alignment horizontal="center" vertical="center"/>
    </xf>
    <xf numFmtId="0" fontId="6" fillId="0" borderId="15" xfId="0" applyFont="1" applyBorder="1" applyAlignment="1">
      <alignment horizontal="center" vertical="center"/>
    </xf>
    <xf numFmtId="0" fontId="4" fillId="0" borderId="0" xfId="0" applyFont="1"/>
    <xf numFmtId="0" fontId="7" fillId="0" borderId="0" xfId="0" applyFont="1"/>
    <xf numFmtId="0" fontId="8" fillId="3" borderId="27" xfId="0" applyFont="1" applyFill="1" applyBorder="1" applyAlignment="1">
      <alignment horizontal="center" vertical="center"/>
    </xf>
    <xf numFmtId="0" fontId="8" fillId="3" borderId="27" xfId="0" applyFont="1" applyFill="1" applyBorder="1" applyAlignment="1">
      <alignment horizontal="center" vertical="center" wrapText="1"/>
    </xf>
    <xf numFmtId="0" fontId="10" fillId="0" borderId="0" xfId="0" applyFont="1" applyAlignment="1">
      <alignment horizontal="center" vertical="center"/>
    </xf>
    <xf numFmtId="0" fontId="7" fillId="2" borderId="20" xfId="0" applyFont="1" applyFill="1" applyBorder="1" applyAlignment="1">
      <alignment horizontal="center" vertical="center"/>
    </xf>
    <xf numFmtId="0" fontId="6" fillId="5" borderId="26" xfId="0" applyFont="1" applyFill="1" applyBorder="1" applyAlignment="1">
      <alignment horizontal="center" vertical="center"/>
    </xf>
    <xf numFmtId="0" fontId="6" fillId="0" borderId="23" xfId="0" applyFont="1" applyBorder="1" applyAlignment="1">
      <alignment horizontal="left" wrapText="1"/>
    </xf>
    <xf numFmtId="0" fontId="6" fillId="0" borderId="5" xfId="0" applyFont="1" applyBorder="1" applyAlignment="1">
      <alignment horizontal="left" wrapText="1"/>
    </xf>
    <xf numFmtId="0" fontId="6" fillId="0" borderId="15" xfId="0" applyFont="1" applyBorder="1" applyAlignment="1">
      <alignment horizontal="left" wrapText="1"/>
    </xf>
    <xf numFmtId="0" fontId="5" fillId="8" borderId="0" xfId="0" applyFont="1" applyFill="1" applyAlignment="1">
      <alignment horizontal="center" vertical="center"/>
    </xf>
    <xf numFmtId="0" fontId="5" fillId="3" borderId="17" xfId="0" applyFont="1" applyFill="1" applyBorder="1" applyAlignment="1">
      <alignment horizontal="center" vertical="center" wrapText="1"/>
    </xf>
    <xf numFmtId="0" fontId="5" fillId="3" borderId="34" xfId="0" applyFont="1" applyFill="1" applyBorder="1" applyAlignment="1">
      <alignment horizontal="center" vertical="center" wrapText="1"/>
    </xf>
    <xf numFmtId="0" fontId="12" fillId="0" borderId="0" xfId="0" applyFont="1" applyAlignment="1">
      <alignment wrapText="1"/>
    </xf>
    <xf numFmtId="0" fontId="6" fillId="0" borderId="15" xfId="0" applyFont="1" applyBorder="1" applyAlignment="1">
      <alignment wrapText="1"/>
    </xf>
    <xf numFmtId="0" fontId="6" fillId="0" borderId="16" xfId="0" applyFont="1" applyBorder="1" applyAlignment="1">
      <alignment wrapText="1"/>
    </xf>
    <xf numFmtId="0" fontId="6" fillId="0" borderId="23" xfId="0" applyFont="1" applyBorder="1" applyAlignment="1">
      <alignment vertical="top"/>
    </xf>
    <xf numFmtId="0" fontId="6" fillId="0" borderId="23" xfId="0" applyFont="1" applyBorder="1" applyAlignment="1">
      <alignment horizontal="center" vertical="top"/>
    </xf>
    <xf numFmtId="0" fontId="6" fillId="0" borderId="23" xfId="0" applyFont="1" applyBorder="1" applyAlignment="1">
      <alignment horizontal="left" vertical="top" wrapText="1"/>
    </xf>
    <xf numFmtId="0" fontId="6" fillId="0" borderId="24" xfId="0" applyFont="1" applyBorder="1" applyAlignment="1">
      <alignment vertical="top" wrapText="1"/>
    </xf>
    <xf numFmtId="0" fontId="6" fillId="0" borderId="23" xfId="0" applyFont="1" applyBorder="1" applyAlignment="1">
      <alignment vertical="top" wrapText="1"/>
    </xf>
    <xf numFmtId="0" fontId="6" fillId="0" borderId="0" xfId="0" applyFont="1" applyAlignment="1">
      <alignment wrapText="1"/>
    </xf>
    <xf numFmtId="0" fontId="6" fillId="0" borderId="13" xfId="0" applyFont="1" applyBorder="1" applyAlignment="1">
      <alignment vertical="top" wrapText="1"/>
    </xf>
    <xf numFmtId="0" fontId="6" fillId="0" borderId="5" xfId="0" applyFont="1" applyBorder="1" applyAlignment="1">
      <alignment vertical="top" wrapText="1"/>
    </xf>
    <xf numFmtId="0" fontId="6" fillId="0" borderId="0" xfId="0" applyFont="1" applyAlignment="1">
      <alignment vertical="top" wrapText="1"/>
    </xf>
    <xf numFmtId="0" fontId="6" fillId="0" borderId="5" xfId="0" applyFont="1" applyBorder="1" applyAlignment="1">
      <alignment vertical="top"/>
    </xf>
    <xf numFmtId="0" fontId="6" fillId="0" borderId="15" xfId="0" applyFont="1" applyBorder="1" applyAlignment="1">
      <alignment vertical="top"/>
    </xf>
    <xf numFmtId="0" fontId="6" fillId="0" borderId="15" xfId="0" applyFont="1" applyBorder="1" applyAlignment="1">
      <alignment vertical="top" wrapText="1"/>
    </xf>
    <xf numFmtId="0" fontId="6" fillId="0" borderId="0" xfId="0" applyFont="1" applyAlignment="1">
      <alignment vertical="top"/>
    </xf>
    <xf numFmtId="0" fontId="6" fillId="0" borderId="16" xfId="0" applyFont="1" applyBorder="1" applyAlignment="1">
      <alignment vertical="top" wrapText="1"/>
    </xf>
    <xf numFmtId="0" fontId="5" fillId="3" borderId="17" xfId="0" applyFont="1" applyFill="1" applyBorder="1" applyAlignment="1">
      <alignment horizontal="center" vertical="top" wrapText="1"/>
    </xf>
    <xf numFmtId="0" fontId="5" fillId="3" borderId="27" xfId="0" applyFont="1" applyFill="1" applyBorder="1" applyAlignment="1">
      <alignment horizontal="center" vertical="top"/>
    </xf>
    <xf numFmtId="0" fontId="5" fillId="3" borderId="27" xfId="0" applyFont="1" applyFill="1" applyBorder="1" applyAlignment="1">
      <alignment horizontal="center" vertical="top" wrapText="1"/>
    </xf>
    <xf numFmtId="0" fontId="6" fillId="2" borderId="20" xfId="0" applyFont="1" applyFill="1" applyBorder="1" applyAlignment="1">
      <alignment horizontal="center" vertical="top"/>
    </xf>
    <xf numFmtId="0" fontId="6" fillId="5" borderId="21" xfId="0" applyFont="1" applyFill="1" applyBorder="1" applyAlignment="1">
      <alignment horizontal="center" vertical="top"/>
    </xf>
    <xf numFmtId="0" fontId="6" fillId="0" borderId="23" xfId="0" applyFont="1" applyBorder="1" applyAlignment="1">
      <alignment horizontal="center" vertical="top" wrapText="1"/>
    </xf>
    <xf numFmtId="0" fontId="6" fillId="5" borderId="25" xfId="0" applyFont="1" applyFill="1" applyBorder="1" applyAlignment="1">
      <alignment horizontal="center" vertical="top"/>
    </xf>
    <xf numFmtId="0" fontId="6" fillId="0" borderId="5" xfId="0" applyFont="1" applyBorder="1" applyAlignment="1">
      <alignment horizontal="center" vertical="top" wrapText="1"/>
    </xf>
    <xf numFmtId="0" fontId="6" fillId="0" borderId="5" xfId="0" applyFont="1" applyBorder="1" applyAlignment="1">
      <alignment horizontal="center" vertical="top"/>
    </xf>
    <xf numFmtId="0" fontId="6" fillId="0" borderId="5" xfId="0" applyFont="1" applyBorder="1" applyAlignment="1">
      <alignment horizontal="left" vertical="top" wrapText="1"/>
    </xf>
    <xf numFmtId="0" fontId="6" fillId="7" borderId="25" xfId="0" applyFont="1" applyFill="1" applyBorder="1" applyAlignment="1">
      <alignment horizontal="center" vertical="top"/>
    </xf>
    <xf numFmtId="0" fontId="6" fillId="6" borderId="25" xfId="0" applyFont="1" applyFill="1" applyBorder="1" applyAlignment="1">
      <alignment horizontal="center" vertical="top"/>
    </xf>
    <xf numFmtId="0" fontId="6" fillId="5" borderId="26" xfId="0" applyFont="1" applyFill="1" applyBorder="1" applyAlignment="1">
      <alignment horizontal="center" vertical="top"/>
    </xf>
    <xf numFmtId="0" fontId="6" fillId="0" borderId="15" xfId="0" applyFont="1" applyBorder="1" applyAlignment="1">
      <alignment horizontal="center" vertical="top" wrapText="1"/>
    </xf>
    <xf numFmtId="0" fontId="6" fillId="0" borderId="15" xfId="0" applyFont="1" applyBorder="1" applyAlignment="1">
      <alignment horizontal="left" vertical="top" wrapText="1"/>
    </xf>
    <xf numFmtId="0" fontId="6" fillId="0" borderId="32" xfId="0" applyFont="1" applyBorder="1" applyAlignment="1">
      <alignment vertical="top" wrapText="1"/>
    </xf>
    <xf numFmtId="0" fontId="6" fillId="0" borderId="32" xfId="0" applyFont="1" applyBorder="1" applyAlignment="1">
      <alignment horizontal="left" vertical="top" wrapText="1"/>
    </xf>
    <xf numFmtId="0" fontId="5" fillId="3" borderId="28" xfId="0" applyFont="1" applyFill="1" applyBorder="1" applyAlignment="1">
      <alignment horizontal="center" vertical="top"/>
    </xf>
    <xf numFmtId="0" fontId="5" fillId="3" borderId="29" xfId="0" applyFont="1" applyFill="1" applyBorder="1" applyAlignment="1">
      <alignment horizontal="center" vertical="top"/>
    </xf>
    <xf numFmtId="0" fontId="5" fillId="3" borderId="30" xfId="0" applyFont="1" applyFill="1" applyBorder="1" applyAlignment="1">
      <alignment horizontal="center" vertical="top" wrapText="1"/>
    </xf>
    <xf numFmtId="0" fontId="5" fillId="3" borderId="30" xfId="0" applyFont="1" applyFill="1" applyBorder="1" applyAlignment="1">
      <alignment horizontal="center" vertical="top"/>
    </xf>
    <xf numFmtId="0" fontId="6" fillId="6" borderId="31" xfId="0" applyFont="1" applyFill="1" applyBorder="1" applyAlignment="1">
      <alignment horizontal="center" vertical="top"/>
    </xf>
    <xf numFmtId="0" fontId="6" fillId="0" borderId="32" xfId="0" applyFont="1" applyBorder="1" applyAlignment="1">
      <alignment horizontal="center" vertical="top" wrapText="1"/>
    </xf>
    <xf numFmtId="0" fontId="6" fillId="0" borderId="32" xfId="0" applyFont="1" applyBorder="1" applyAlignment="1">
      <alignment horizontal="center" vertical="top"/>
    </xf>
    <xf numFmtId="0" fontId="6" fillId="0" borderId="15" xfId="0" applyFont="1" applyBorder="1" applyAlignment="1">
      <alignment horizontal="center" vertical="top"/>
    </xf>
    <xf numFmtId="0" fontId="6" fillId="0" borderId="33" xfId="0" applyFont="1" applyBorder="1" applyAlignment="1">
      <alignment vertical="top" wrapText="1"/>
    </xf>
    <xf numFmtId="0" fontId="5" fillId="3" borderId="35" xfId="0" applyFont="1" applyFill="1" applyBorder="1" applyAlignment="1">
      <alignment horizontal="center" vertical="top" wrapText="1"/>
    </xf>
    <xf numFmtId="0" fontId="6" fillId="2" borderId="37" xfId="0" applyFont="1" applyFill="1" applyBorder="1" applyAlignment="1">
      <alignment horizontal="center" vertical="top"/>
    </xf>
    <xf numFmtId="0" fontId="6" fillId="5" borderId="38" xfId="0" applyFont="1" applyFill="1" applyBorder="1" applyAlignment="1">
      <alignment horizontal="center" vertical="top"/>
    </xf>
    <xf numFmtId="0" fontId="6" fillId="0" borderId="39" xfId="0" applyFont="1" applyBorder="1" applyAlignment="1">
      <alignment horizontal="center" vertical="top" wrapText="1"/>
    </xf>
    <xf numFmtId="0" fontId="6" fillId="0" borderId="39" xfId="0" applyFont="1" applyBorder="1" applyAlignment="1">
      <alignment horizontal="center" vertical="top"/>
    </xf>
    <xf numFmtId="0" fontId="6" fillId="0" borderId="39" xfId="0" applyFont="1" applyBorder="1" applyAlignment="1">
      <alignment horizontal="left" vertical="top" wrapText="1"/>
    </xf>
    <xf numFmtId="0" fontId="6" fillId="0" borderId="39" xfId="0" applyFont="1" applyBorder="1" applyAlignment="1">
      <alignment vertical="top"/>
    </xf>
    <xf numFmtId="0" fontId="6" fillId="5" borderId="41" xfId="0" applyFont="1" applyFill="1" applyBorder="1" applyAlignment="1">
      <alignment horizontal="center" vertical="top"/>
    </xf>
    <xf numFmtId="0" fontId="6" fillId="0" borderId="42" xfId="0" applyFont="1" applyBorder="1" applyAlignment="1">
      <alignment horizontal="center" vertical="top" wrapText="1"/>
    </xf>
    <xf numFmtId="0" fontId="6" fillId="0" borderId="42" xfId="0" applyFont="1" applyBorder="1" applyAlignment="1">
      <alignment horizontal="center" vertical="top"/>
    </xf>
    <xf numFmtId="0" fontId="6" fillId="0" borderId="42" xfId="0" applyFont="1" applyBorder="1" applyAlignment="1">
      <alignment horizontal="left" vertical="top" wrapText="1"/>
    </xf>
    <xf numFmtId="0" fontId="6" fillId="0" borderId="42" xfId="0" applyFont="1" applyBorder="1" applyAlignment="1">
      <alignment vertical="top"/>
    </xf>
    <xf numFmtId="0" fontId="6" fillId="0" borderId="43" xfId="0" applyFont="1" applyBorder="1" applyAlignment="1">
      <alignment vertical="top"/>
    </xf>
    <xf numFmtId="0" fontId="6" fillId="7" borderId="41" xfId="0" applyFont="1" applyFill="1" applyBorder="1" applyAlignment="1">
      <alignment horizontal="center" vertical="top"/>
    </xf>
    <xf numFmtId="0" fontId="6" fillId="6" borderId="41" xfId="0" applyFont="1" applyFill="1" applyBorder="1" applyAlignment="1">
      <alignment horizontal="center" vertical="top"/>
    </xf>
    <xf numFmtId="0" fontId="6" fillId="5" borderId="44" xfId="0" applyFont="1" applyFill="1" applyBorder="1" applyAlignment="1">
      <alignment horizontal="center" vertical="top"/>
    </xf>
    <xf numFmtId="0" fontId="6" fillId="0" borderId="45" xfId="0" applyFont="1" applyBorder="1" applyAlignment="1">
      <alignment horizontal="center" vertical="top" wrapText="1"/>
    </xf>
    <xf numFmtId="0" fontId="6" fillId="0" borderId="45" xfId="0" applyFont="1" applyBorder="1" applyAlignment="1">
      <alignment horizontal="center" vertical="top"/>
    </xf>
    <xf numFmtId="0" fontId="6" fillId="0" borderId="45" xfId="0" applyFont="1" applyBorder="1" applyAlignment="1">
      <alignment horizontal="left" vertical="top" wrapText="1"/>
    </xf>
    <xf numFmtId="0" fontId="6" fillId="0" borderId="45" xfId="0" applyFont="1" applyBorder="1" applyAlignment="1">
      <alignment vertical="top"/>
    </xf>
    <xf numFmtId="0" fontId="6" fillId="0" borderId="39" xfId="0" applyFont="1" applyBorder="1" applyAlignment="1">
      <alignment vertical="top" wrapText="1"/>
    </xf>
    <xf numFmtId="0" fontId="6" fillId="0" borderId="40" xfId="0" applyFont="1" applyBorder="1" applyAlignment="1">
      <alignment vertical="top" wrapText="1"/>
    </xf>
    <xf numFmtId="0" fontId="6" fillId="0" borderId="42" xfId="0" applyFont="1" applyBorder="1" applyAlignment="1">
      <alignment vertical="top" wrapText="1"/>
    </xf>
    <xf numFmtId="0" fontId="6" fillId="0" borderId="43" xfId="0" applyFont="1" applyBorder="1" applyAlignment="1">
      <alignment vertical="top" wrapText="1"/>
    </xf>
    <xf numFmtId="0" fontId="6" fillId="0" borderId="45" xfId="0" applyFont="1" applyBorder="1" applyAlignment="1">
      <alignment vertical="top" wrapText="1"/>
    </xf>
    <xf numFmtId="0" fontId="6" fillId="0" borderId="46" xfId="0" applyFont="1" applyBorder="1" applyAlignment="1">
      <alignment vertical="top" wrapText="1"/>
    </xf>
    <xf numFmtId="0" fontId="15" fillId="0" borderId="0" xfId="0" applyFont="1" applyAlignment="1">
      <alignment horizontal="center" vertical="center"/>
    </xf>
    <xf numFmtId="0" fontId="13" fillId="0" borderId="5" xfId="0" applyFont="1" applyBorder="1" applyAlignment="1">
      <alignment wrapText="1"/>
    </xf>
    <xf numFmtId="0" fontId="13" fillId="0" borderId="23" xfId="0" applyFont="1" applyBorder="1" applyAlignment="1">
      <alignment wrapText="1"/>
    </xf>
    <xf numFmtId="0" fontId="13" fillId="0" borderId="13" xfId="0" applyFont="1" applyBorder="1" applyAlignment="1">
      <alignment wrapText="1"/>
    </xf>
    <xf numFmtId="0" fontId="0" fillId="0" borderId="0" xfId="0" applyAlignment="1">
      <alignment wrapText="1"/>
    </xf>
    <xf numFmtId="0" fontId="16" fillId="0" borderId="13" xfId="0" applyFont="1" applyBorder="1" applyAlignment="1">
      <alignment wrapText="1"/>
    </xf>
    <xf numFmtId="0" fontId="5" fillId="3" borderId="6"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6" fillId="5" borderId="10" xfId="0" applyFont="1" applyFill="1" applyBorder="1" applyAlignment="1">
      <alignment horizontal="center" vertical="center" wrapText="1"/>
    </xf>
    <xf numFmtId="0" fontId="6" fillId="5" borderId="12" xfId="0" applyFont="1" applyFill="1" applyBorder="1" applyAlignment="1">
      <alignment horizontal="center" vertical="center" wrapText="1"/>
    </xf>
    <xf numFmtId="0" fontId="6" fillId="5" borderId="14" xfId="0" applyFont="1" applyFill="1" applyBorder="1" applyAlignment="1">
      <alignment horizontal="center" vertical="center" wrapText="1"/>
    </xf>
    <xf numFmtId="0" fontId="6" fillId="5" borderId="21" xfId="0" applyFont="1" applyFill="1" applyBorder="1" applyAlignment="1">
      <alignment horizontal="center" vertical="center" wrapText="1"/>
    </xf>
    <xf numFmtId="0" fontId="6" fillId="7" borderId="26" xfId="0" applyFont="1" applyFill="1" applyBorder="1" applyAlignment="1">
      <alignment horizontal="center" vertical="center" wrapText="1"/>
    </xf>
    <xf numFmtId="0" fontId="6" fillId="7" borderId="21" xfId="0" applyFont="1" applyFill="1" applyBorder="1" applyAlignment="1">
      <alignment horizontal="center" vertical="center" wrapText="1"/>
    </xf>
    <xf numFmtId="0" fontId="6" fillId="6" borderId="26" xfId="0" applyFont="1" applyFill="1" applyBorder="1" applyAlignment="1">
      <alignment horizontal="center" vertical="center" wrapText="1"/>
    </xf>
    <xf numFmtId="0" fontId="6" fillId="0" borderId="2" xfId="0" applyFont="1" applyBorder="1" applyAlignment="1">
      <alignment vertical="top" wrapText="1"/>
    </xf>
    <xf numFmtId="0" fontId="6" fillId="9" borderId="5" xfId="0" applyFont="1" applyFill="1" applyBorder="1" applyAlignment="1">
      <alignment wrapText="1"/>
    </xf>
    <xf numFmtId="0" fontId="6" fillId="9" borderId="5" xfId="0" applyFont="1" applyFill="1" applyBorder="1" applyAlignment="1">
      <alignment vertical="top" wrapText="1"/>
    </xf>
    <xf numFmtId="0" fontId="6" fillId="10" borderId="5" xfId="0" applyFont="1" applyFill="1" applyBorder="1" applyAlignment="1">
      <alignment vertical="top" wrapText="1"/>
    </xf>
    <xf numFmtId="0" fontId="6" fillId="10" borderId="5" xfId="0" applyFont="1" applyFill="1" applyBorder="1" applyAlignment="1">
      <alignment wrapText="1"/>
    </xf>
    <xf numFmtId="0" fontId="13" fillId="10" borderId="5" xfId="0" applyFont="1" applyFill="1" applyBorder="1" applyAlignment="1">
      <alignment wrapText="1"/>
    </xf>
    <xf numFmtId="0" fontId="6" fillId="11" borderId="5" xfId="0" applyFont="1" applyFill="1" applyBorder="1"/>
    <xf numFmtId="0" fontId="2" fillId="12" borderId="0" xfId="0" applyFont="1" applyFill="1"/>
    <xf numFmtId="0" fontId="6" fillId="12" borderId="5" xfId="0" applyFont="1" applyFill="1" applyBorder="1" applyAlignment="1">
      <alignment vertical="top" wrapText="1"/>
    </xf>
    <xf numFmtId="0" fontId="11" fillId="12" borderId="0" xfId="0" applyFont="1" applyFill="1"/>
    <xf numFmtId="0" fontId="13" fillId="0" borderId="42" xfId="0" applyFont="1" applyBorder="1" applyAlignment="1">
      <alignment vertical="top"/>
    </xf>
    <xf numFmtId="0" fontId="13" fillId="0" borderId="13" xfId="0" applyFont="1" applyBorder="1"/>
    <xf numFmtId="0" fontId="2" fillId="13" borderId="0" xfId="0" applyFont="1" applyFill="1"/>
    <xf numFmtId="0" fontId="6" fillId="13" borderId="5" xfId="0" applyFont="1" applyFill="1" applyBorder="1"/>
    <xf numFmtId="0" fontId="6" fillId="11" borderId="15" xfId="0" applyFont="1" applyFill="1" applyBorder="1"/>
    <xf numFmtId="0" fontId="13" fillId="0" borderId="5" xfId="0" applyFont="1" applyBorder="1"/>
    <xf numFmtId="0" fontId="6" fillId="11" borderId="23" xfId="0" applyFont="1" applyFill="1" applyBorder="1" applyAlignment="1">
      <alignment vertical="top"/>
    </xf>
    <xf numFmtId="0" fontId="6" fillId="11" borderId="5" xfId="0" applyFont="1" applyFill="1" applyBorder="1" applyAlignment="1">
      <alignment vertical="top"/>
    </xf>
    <xf numFmtId="0" fontId="6" fillId="11" borderId="5" xfId="0" applyFont="1" applyFill="1" applyBorder="1" applyAlignment="1">
      <alignment wrapText="1"/>
    </xf>
    <xf numFmtId="0" fontId="6" fillId="11" borderId="23" xfId="0" applyFont="1" applyFill="1" applyBorder="1"/>
    <xf numFmtId="0" fontId="6" fillId="11" borderId="23" xfId="0" applyFont="1" applyFill="1" applyBorder="1" applyAlignment="1">
      <alignment wrapText="1"/>
    </xf>
    <xf numFmtId="0" fontId="6" fillId="11" borderId="15" xfId="0" applyFont="1" applyFill="1" applyBorder="1" applyAlignment="1">
      <alignment wrapText="1"/>
    </xf>
    <xf numFmtId="0" fontId="17" fillId="12" borderId="0" xfId="0" applyFont="1" applyFill="1"/>
    <xf numFmtId="0" fontId="4" fillId="2" borderId="8" xfId="0" applyFont="1" applyFill="1" applyBorder="1" applyAlignment="1">
      <alignment vertical="center" wrapText="1"/>
    </xf>
    <xf numFmtId="0" fontId="4" fillId="2" borderId="19" xfId="0" applyFont="1" applyFill="1" applyBorder="1" applyAlignment="1">
      <alignment horizontal="center" vertical="center" wrapText="1"/>
    </xf>
    <xf numFmtId="0" fontId="4" fillId="2" borderId="19" xfId="0" applyFont="1" applyFill="1" applyBorder="1" applyAlignment="1">
      <alignment horizontal="center" vertical="top" wrapText="1"/>
    </xf>
    <xf numFmtId="0" fontId="4" fillId="2" borderId="36"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CCCDC"/>
      <rgbColor rgb="FF878787"/>
      <rgbColor rgb="FF9FB3C8"/>
      <rgbColor rgb="FFE12D39"/>
      <rgbColor rgb="FFF0F4F8"/>
      <rgbColor rgb="FF87EA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7EA8F"/>
      <rgbColor rgb="FFFAFA6A"/>
      <rgbColor rgb="FF99CCFF"/>
      <rgbColor rgb="FFFF99CC"/>
      <rgbColor rgb="FFA4C1FF"/>
      <rgbColor rgb="FFFFCC99"/>
      <rgbColor rgb="FF3E7FCC"/>
      <rgbColor rgb="FF33CCCC"/>
      <rgbColor rgb="FF99CC00"/>
      <rgbColor rgb="FFFFCC00"/>
      <rgbColor rgb="FFFF9900"/>
      <rgbColor rgb="FFFF6600"/>
      <rgbColor rgb="FF486581"/>
      <rgbColor rgb="FF969696"/>
      <rgbColor rgb="FF102A43"/>
      <rgbColor rgb="FF339966"/>
      <rgbColor rgb="FF003300"/>
      <rgbColor rgb="FF333300"/>
      <rgbColor rgb="FF993300"/>
      <rgbColor rgb="FF993366"/>
      <rgbColor rgb="FF334E68"/>
      <rgbColor rgb="FF243B5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Validity Percentage</a:t>
            </a:r>
          </a:p>
        </c:rich>
      </c:tx>
      <c:overlay val="0"/>
      <c:spPr>
        <a:noFill/>
        <a:ln>
          <a:noFill/>
        </a:ln>
      </c:spPr>
    </c:title>
    <c:autoTitleDeleted val="0"/>
    <c:plotArea>
      <c:layout/>
      <c:radarChart>
        <c:radarStyle val="filled"/>
        <c:varyColors val="0"/>
        <c:ser>
          <c:idx val="0"/>
          <c:order val="0"/>
          <c:tx>
            <c:strRef>
              <c:f>'ASVS Results'!$D$1</c:f>
              <c:strCache>
                <c:ptCount val="1"/>
                <c:pt idx="0">
                  <c:v>Validity Percentage</c:v>
                </c:pt>
              </c:strCache>
            </c:strRef>
          </c:tx>
          <c:spPr>
            <a:gradFill>
              <a:gsLst>
                <a:gs pos="0">
                  <a:srgbClr val="3E7FCC"/>
                </a:gs>
                <a:gs pos="100000">
                  <a:srgbClr val="A4C1FF"/>
                </a:gs>
              </a:gsLst>
              <a:lin ang="16200000"/>
            </a:gradFill>
            <a:ln>
              <a:noFill/>
            </a:ln>
          </c:spPr>
          <c:dLbls>
            <c:spPr>
              <a:noFill/>
              <a:ln>
                <a:noFill/>
              </a:ln>
              <a:effectLst/>
            </c:spPr>
            <c:txPr>
              <a:bodyPr/>
              <a:lstStyle/>
              <a:p>
                <a:pPr>
                  <a:defRPr sz="1000" b="0" strike="noStrike" spc="-1">
                    <a:solidFill>
                      <a:srgbClr val="000000"/>
                    </a:solidFill>
                    <a:latin typeface="Calibri"/>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'ASVS Results'!$A$2:$A$16</c:f>
              <c:strCache>
                <c:ptCount val="15"/>
                <c:pt idx="0">
                  <c:v>Architecture, Design and Threat Modeling</c:v>
                </c:pt>
                <c:pt idx="1">
                  <c:v>Authentication</c:v>
                </c:pt>
                <c:pt idx="2">
                  <c:v>Session Management</c:v>
                </c:pt>
                <c:pt idx="3">
                  <c:v>Access Control</c:v>
                </c:pt>
                <c:pt idx="4">
                  <c:v>Validation, Sanitization and Encoding</c:v>
                </c:pt>
                <c:pt idx="5">
                  <c:v>Stored Cryptography</c:v>
                </c:pt>
                <c:pt idx="6">
                  <c:v>Error Handling and Logging</c:v>
                </c:pt>
                <c:pt idx="7">
                  <c:v>Data Protection</c:v>
                </c:pt>
                <c:pt idx="8">
                  <c:v>Communication</c:v>
                </c:pt>
                <c:pt idx="9">
                  <c:v>Malicious Code</c:v>
                </c:pt>
                <c:pt idx="10">
                  <c:v>Business Logic</c:v>
                </c:pt>
                <c:pt idx="11">
                  <c:v>Files and Resources</c:v>
                </c:pt>
                <c:pt idx="12">
                  <c:v>API and Web Service</c:v>
                </c:pt>
                <c:pt idx="13">
                  <c:v>Configuration</c:v>
                </c:pt>
                <c:pt idx="14">
                  <c:v>Total</c:v>
                </c:pt>
              </c:strCache>
            </c:strRef>
          </c:cat>
          <c:val>
            <c:numRef>
              <c:f>'ASVS Results'!$D$2:$D$16</c:f>
              <c:numCache>
                <c:formatCode>#\ ##0.00\ _€;\-#\ ##0.00\ _€</c:formatCode>
                <c:ptCount val="15"/>
                <c:pt idx="0">
                  <c:v>84.615384615384613</c:v>
                </c:pt>
                <c:pt idx="1">
                  <c:v>44</c:v>
                </c:pt>
                <c:pt idx="2">
                  <c:v>76.470588235294116</c:v>
                </c:pt>
                <c:pt idx="3">
                  <c:v>88.888888888888886</c:v>
                </c:pt>
                <c:pt idx="4">
                  <c:v>60</c:v>
                </c:pt>
                <c:pt idx="5">
                  <c:v>50</c:v>
                </c:pt>
                <c:pt idx="6">
                  <c:v>58.333333333333336</c:v>
                </c:pt>
                <c:pt idx="7">
                  <c:v>47.058823529411761</c:v>
                </c:pt>
                <c:pt idx="8">
                  <c:v>75</c:v>
                </c:pt>
                <c:pt idx="9">
                  <c:v>100</c:v>
                </c:pt>
                <c:pt idx="10">
                  <c:v>62.5</c:v>
                </c:pt>
                <c:pt idx="11">
                  <c:v>69.230769230769226</c:v>
                </c:pt>
                <c:pt idx="12">
                  <c:v>88.888888888888886</c:v>
                </c:pt>
                <c:pt idx="13">
                  <c:v>78.260869565217391</c:v>
                </c:pt>
                <c:pt idx="14">
                  <c:v>65.891472868217051</c:v>
                </c:pt>
              </c:numCache>
            </c:numRef>
          </c:val>
          <c:extLst>
            <c:ext xmlns:c16="http://schemas.microsoft.com/office/drawing/2014/chart" uri="{C3380CC4-5D6E-409C-BE32-E72D297353CC}">
              <c16:uniqueId val="{00000000-9588-4813-A802-016D50810174}"/>
            </c:ext>
          </c:extLst>
        </c:ser>
        <c:dLbls>
          <c:showLegendKey val="0"/>
          <c:showVal val="0"/>
          <c:showCatName val="0"/>
          <c:showSerName val="0"/>
          <c:showPercent val="0"/>
          <c:showBubbleSize val="0"/>
        </c:dLbls>
        <c:axId val="17923522"/>
        <c:axId val="74048637"/>
      </c:radarChart>
      <c:catAx>
        <c:axId val="17923522"/>
        <c:scaling>
          <c:orientation val="minMax"/>
        </c:scaling>
        <c:delete val="0"/>
        <c:axPos val="b"/>
        <c:majorGridlines>
          <c:spPr>
            <a:ln w="9360">
              <a:solidFill>
                <a:srgbClr val="878787"/>
              </a:solidFill>
              <a:round/>
            </a:ln>
          </c:spPr>
        </c:majorGridlines>
        <c:numFmt formatCode="General" sourceLinked="1"/>
        <c:majorTickMark val="out"/>
        <c:minorTickMark val="none"/>
        <c:tickLblPos val="nextTo"/>
        <c:spPr>
          <a:ln w="9360">
            <a:noFill/>
          </a:ln>
        </c:spPr>
        <c:txPr>
          <a:bodyPr/>
          <a:lstStyle/>
          <a:p>
            <a:pPr>
              <a:defRPr sz="1000" b="0" strike="noStrike" spc="-1">
                <a:solidFill>
                  <a:srgbClr val="000000"/>
                </a:solidFill>
                <a:latin typeface="Calibri"/>
              </a:defRPr>
            </a:pPr>
            <a:endParaRPr lang="en-US"/>
          </a:p>
        </c:txPr>
        <c:crossAx val="74048637"/>
        <c:crosses val="autoZero"/>
        <c:auto val="1"/>
        <c:lblAlgn val="ctr"/>
        <c:lblOffset val="100"/>
        <c:noMultiLvlLbl val="0"/>
      </c:catAx>
      <c:valAx>
        <c:axId val="74048637"/>
        <c:scaling>
          <c:orientation val="minMax"/>
        </c:scaling>
        <c:delete val="0"/>
        <c:axPos val="l"/>
        <c:majorGridlines>
          <c:spPr>
            <a:ln w="9360">
              <a:solidFill>
                <a:srgbClr val="878787"/>
              </a:solidFill>
              <a:round/>
            </a:ln>
          </c:spPr>
        </c:majorGridlines>
        <c:numFmt formatCode="#,##0.00\ ;\(#,##0.00\)" sourceLinked="0"/>
        <c:majorTickMark val="cross"/>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7923522"/>
        <c:crosses val="autoZero"/>
        <c:crossBetween val="midCat"/>
      </c:valAx>
      <c:spPr>
        <a:solidFill>
          <a:srgbClr val="FFFFFF"/>
        </a:solidFill>
        <a:ln>
          <a:noFill/>
        </a:ln>
      </c:spPr>
    </c:plotArea>
    <c:legend>
      <c:legendPos val="r"/>
      <c:overlay val="0"/>
      <c:spPr>
        <a:noFill/>
        <a:ln>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16</xdr:row>
      <xdr:rowOff>26280</xdr:rowOff>
    </xdr:from>
    <xdr:to>
      <xdr:col>4</xdr:col>
      <xdr:colOff>1719000</xdr:colOff>
      <xdr:row>51</xdr:row>
      <xdr:rowOff>25560</xdr:rowOff>
    </xdr:to>
    <xdr:graphicFrame macro="">
      <xdr:nvGraphicFramePr>
        <xdr:cNvPr id="2" name="Chart 2">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ema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16"/>
  <sheetViews>
    <sheetView zoomScale="64" zoomScaleNormal="34" workbookViewId="0">
      <selection activeCell="A7" sqref="A7:D7"/>
    </sheetView>
  </sheetViews>
  <sheetFormatPr defaultColWidth="8.81640625" defaultRowHeight="21"/>
  <cols>
    <col min="1" max="1" width="64.26953125" style="3" customWidth="1"/>
    <col min="2" max="2" width="23.26953125" style="4" customWidth="1"/>
    <col min="3" max="3" width="21" style="4" customWidth="1"/>
    <col min="4" max="4" width="25" style="4" customWidth="1"/>
    <col min="5" max="5" width="37" style="4" customWidth="1"/>
    <col min="6" max="6" width="12.81640625" style="4" bestFit="1" customWidth="1"/>
    <col min="7" max="1024" width="8.81640625" style="4"/>
  </cols>
  <sheetData>
    <row r="1" spans="1:6" s="7" customFormat="1">
      <c r="A1" s="5" t="s">
        <v>0</v>
      </c>
      <c r="B1" s="6" t="s">
        <v>1</v>
      </c>
      <c r="C1" s="6" t="s">
        <v>2</v>
      </c>
      <c r="D1" s="6" t="s">
        <v>3</v>
      </c>
      <c r="E1" s="6" t="s">
        <v>4</v>
      </c>
    </row>
    <row r="2" spans="1:6" s="13" customFormat="1">
      <c r="A2" s="8" t="s">
        <v>5</v>
      </c>
      <c r="B2" s="9">
        <f>0+COUNTIF('Architecture, Design and Threat'!G2:G45,"Valid")</f>
        <v>33</v>
      </c>
      <c r="C2" s="10">
        <f>COUNTIF('Architecture, Design and Threat'!G2:G45,"&lt;&gt;Not Applicable")</f>
        <v>39</v>
      </c>
      <c r="D2" s="11">
        <f t="shared" ref="D2:D16" si="0">(B2/C2)*100</f>
        <v>84.615384615384613</v>
      </c>
      <c r="E2" s="12"/>
      <c r="F2" s="168" t="s">
        <v>6</v>
      </c>
    </row>
    <row r="3" spans="1:6">
      <c r="A3" s="8" t="s">
        <v>7</v>
      </c>
      <c r="B3" s="9">
        <f>COUNTIF(Authentication!G2:G58,"Valid")</f>
        <v>22</v>
      </c>
      <c r="C3" s="10">
        <f>COUNTIF(Authentication!G2:G58,"&lt;&gt;Not Applicable")</f>
        <v>50</v>
      </c>
      <c r="D3" s="11">
        <f t="shared" si="0"/>
        <v>44</v>
      </c>
      <c r="E3" s="12"/>
      <c r="F3" s="183" t="s">
        <v>1099</v>
      </c>
    </row>
    <row r="4" spans="1:6">
      <c r="A4" s="8" t="s">
        <v>8</v>
      </c>
      <c r="B4" s="9">
        <f>COUNTIF('Session Management'!G2:G21,"Valid")</f>
        <v>13</v>
      </c>
      <c r="C4" s="10">
        <f>COUNTIF('Session Management'!G2:G21,"&lt;&gt;Not Applicable")</f>
        <v>17</v>
      </c>
      <c r="D4" s="11">
        <f t="shared" si="0"/>
        <v>76.470588235294116</v>
      </c>
      <c r="E4" s="12"/>
      <c r="F4" s="168" t="s">
        <v>9</v>
      </c>
    </row>
    <row r="5" spans="1:6">
      <c r="A5" s="8" t="s">
        <v>10</v>
      </c>
      <c r="B5" s="9">
        <f>COUNTIF('Access Control'!G2:G11,"Valid")</f>
        <v>8</v>
      </c>
      <c r="C5" s="10">
        <f>COUNTIF('Access Control'!G2:G11,"&lt;&gt;Not Applicable")</f>
        <v>9</v>
      </c>
      <c r="D5" s="11">
        <f t="shared" si="0"/>
        <v>88.888888888888886</v>
      </c>
      <c r="E5" s="12"/>
      <c r="F5" s="168" t="s">
        <v>9</v>
      </c>
    </row>
    <row r="6" spans="1:6">
      <c r="A6" s="8" t="s">
        <v>11</v>
      </c>
      <c r="B6" s="9">
        <f>COUNTIF('Validation, Sanitization and En'!G2:G31,"Valid")</f>
        <v>18</v>
      </c>
      <c r="C6" s="10">
        <f>COUNTIF('Validation, Sanitization and En'!G2:G31,"&lt;&gt;Not Applicable")</f>
        <v>30</v>
      </c>
      <c r="D6" s="11">
        <f t="shared" si="0"/>
        <v>60</v>
      </c>
      <c r="E6" s="12"/>
      <c r="F6" s="168" t="s">
        <v>9</v>
      </c>
    </row>
    <row r="7" spans="1:6">
      <c r="A7" s="8" t="s">
        <v>12</v>
      </c>
      <c r="B7" s="9">
        <f>COUNTIF('Stored Cryptography'!G2:G17,"Valid")</f>
        <v>8</v>
      </c>
      <c r="C7" s="10">
        <f>COUNTIF('Stored Cryptography'!G2:G17,"&lt;&gt;Not Applicable")</f>
        <v>16</v>
      </c>
      <c r="D7" s="11">
        <f t="shared" si="0"/>
        <v>50</v>
      </c>
      <c r="E7" s="12"/>
      <c r="F7" s="173" t="s">
        <v>6</v>
      </c>
    </row>
    <row r="8" spans="1:6">
      <c r="A8" s="8" t="s">
        <v>13</v>
      </c>
      <c r="B8" s="9">
        <f>COUNTIF('Error Handling and Logging'!G2:G14,"Valid")</f>
        <v>7</v>
      </c>
      <c r="C8" s="10">
        <f>COUNTIF('Error Handling and Logging'!G2:G14,"&lt;&gt;Not Applicable")</f>
        <v>12</v>
      </c>
      <c r="D8" s="11">
        <f t="shared" si="0"/>
        <v>58.333333333333336</v>
      </c>
      <c r="E8" s="12"/>
      <c r="F8" s="173" t="s">
        <v>14</v>
      </c>
    </row>
    <row r="9" spans="1:6">
      <c r="A9" s="8" t="s">
        <v>15</v>
      </c>
      <c r="B9" s="9">
        <f>COUNTIF('Data Protection'!G2:G18,"Valid")</f>
        <v>8</v>
      </c>
      <c r="C9" s="10">
        <f>COUNTIF('Data Protection'!G2:G18,"&lt;&gt;Not Applicable")</f>
        <v>17</v>
      </c>
      <c r="D9" s="11">
        <f>(B9/C9)*100</f>
        <v>47.058823529411761</v>
      </c>
      <c r="E9" s="12"/>
      <c r="F9" s="168" t="s">
        <v>14</v>
      </c>
    </row>
    <row r="10" spans="1:6">
      <c r="A10" s="8" t="s">
        <v>16</v>
      </c>
      <c r="B10" s="9">
        <f>COUNTIF(Communication!G2:G9,"Valid")</f>
        <v>6</v>
      </c>
      <c r="C10" s="10">
        <f>COUNTIF(Communication!G2:G9,"&lt;&gt;Not Applicable")</f>
        <v>8</v>
      </c>
      <c r="D10" s="11">
        <f t="shared" si="0"/>
        <v>75</v>
      </c>
      <c r="E10" s="12"/>
      <c r="F10" s="168" t="s">
        <v>14</v>
      </c>
    </row>
    <row r="11" spans="1:6">
      <c r="A11" s="8" t="s">
        <v>17</v>
      </c>
      <c r="B11" s="9">
        <f>COUNTIF('Malicious Code'!G2:G11,"Valid")</f>
        <v>7</v>
      </c>
      <c r="C11" s="10">
        <f>COUNTIF('Malicious Code'!G2:G11,"&lt;&gt;Not Applicable")</f>
        <v>7</v>
      </c>
      <c r="D11" s="11">
        <f t="shared" si="0"/>
        <v>100</v>
      </c>
      <c r="E11" s="12"/>
      <c r="F11" s="168" t="s">
        <v>18</v>
      </c>
    </row>
    <row r="12" spans="1:6">
      <c r="A12" s="8" t="s">
        <v>19</v>
      </c>
      <c r="B12" s="9">
        <f>COUNTIF('Business Logic'!G2:G9,"Valid")</f>
        <v>5</v>
      </c>
      <c r="C12" s="10">
        <f>COUNTIF('Business Logic'!G2:G9,"&lt;&gt;Not Applicable")</f>
        <v>8</v>
      </c>
      <c r="D12" s="11">
        <f t="shared" si="0"/>
        <v>62.5</v>
      </c>
      <c r="E12" s="12"/>
      <c r="F12" s="170" t="s">
        <v>18</v>
      </c>
    </row>
    <row r="13" spans="1:6">
      <c r="A13" s="8" t="s">
        <v>20</v>
      </c>
      <c r="B13" s="9">
        <f>COUNTIF('Files and Resources'!G2:G16,"Valid")</f>
        <v>9</v>
      </c>
      <c r="C13" s="10">
        <f>COUNTIF('Files and Resources'!G2:G16,"&lt;&gt;Not Applicable")</f>
        <v>13</v>
      </c>
      <c r="D13" s="11">
        <f t="shared" si="0"/>
        <v>69.230769230769226</v>
      </c>
      <c r="E13" s="12"/>
      <c r="F13" s="170" t="s">
        <v>18</v>
      </c>
    </row>
    <row r="14" spans="1:6">
      <c r="A14" s="8" t="s">
        <v>21</v>
      </c>
      <c r="B14" s="9">
        <f>COUNTIF('API and Web Service'!G2:G16,"Valid")</f>
        <v>8</v>
      </c>
      <c r="C14" s="10">
        <f>COUNTIF('API and Web Service'!G2:G16,"&lt;&gt;Not Applicable")</f>
        <v>9</v>
      </c>
      <c r="D14" s="11">
        <f t="shared" si="0"/>
        <v>88.888888888888886</v>
      </c>
      <c r="E14" s="12"/>
      <c r="F14" s="170" t="s">
        <v>18</v>
      </c>
    </row>
    <row r="15" spans="1:6">
      <c r="A15" s="8" t="s">
        <v>22</v>
      </c>
      <c r="B15" s="9">
        <f>COUNTIF(Configuration!G2:G26,"Valid")</f>
        <v>18</v>
      </c>
      <c r="C15" s="10">
        <f>COUNTIF(Configuration!G2:G26,"&lt;&gt;Not Applicable")</f>
        <v>23</v>
      </c>
      <c r="D15" s="11">
        <f t="shared" si="0"/>
        <v>78.260869565217391</v>
      </c>
      <c r="E15" s="12"/>
      <c r="F15" s="168" t="s">
        <v>14</v>
      </c>
    </row>
    <row r="16" spans="1:6">
      <c r="A16" s="8" t="s">
        <v>23</v>
      </c>
      <c r="B16" s="9">
        <f>SUM(B2:B15)</f>
        <v>170</v>
      </c>
      <c r="C16" s="10">
        <f>SUM(C2:C15)</f>
        <v>258</v>
      </c>
      <c r="D16" s="11">
        <f t="shared" si="0"/>
        <v>65.891472868217051</v>
      </c>
      <c r="E16" s="12"/>
    </row>
  </sheetData>
  <pageMargins left="0.78749999999999998" right="0.78749999999999998" top="1.0249999999999999" bottom="1.0249999999999999" header="0.78749999999999998" footer="0.78749999999999998"/>
  <pageSetup paperSize="9" orientation="portrait" useFirstPageNumber="1" horizontalDpi="300" verticalDpi="300"/>
  <headerFooter>
    <oddHeader>&amp;C&amp;A</oddHeader>
    <oddFooter>&amp;CPage &amp;P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45"/>
  <sheetViews>
    <sheetView topLeftCell="A8" zoomScale="58" zoomScaleNormal="40" workbookViewId="0">
      <selection activeCell="Q38" sqref="Q38"/>
    </sheetView>
  </sheetViews>
  <sheetFormatPr defaultColWidth="8.81640625" defaultRowHeight="21"/>
  <cols>
    <col min="1" max="1" width="35.453125" style="3" customWidth="1"/>
    <col min="2" max="2" width="8.81640625" style="14"/>
    <col min="3" max="3" width="10.7265625" style="14" customWidth="1"/>
    <col min="4" max="5" width="8.81640625" style="14"/>
    <col min="6" max="6" width="60.81640625" style="14" customWidth="1"/>
    <col min="7" max="7" width="19.1796875" style="14" customWidth="1"/>
    <col min="8" max="8" width="36" style="14" customWidth="1"/>
    <col min="9" max="9" width="31.7265625" style="14" customWidth="1"/>
    <col min="10" max="10" width="41.7265625" style="14" customWidth="1"/>
    <col min="11" max="1024" width="8.81640625" style="14"/>
  </cols>
  <sheetData>
    <row r="1" spans="1:10" s="3" customFormat="1" ht="42.5" thickBot="1">
      <c r="A1" s="152" t="s">
        <v>24</v>
      </c>
      <c r="B1" s="15" t="s">
        <v>25</v>
      </c>
      <c r="C1" s="15" t="s">
        <v>26</v>
      </c>
      <c r="D1" s="15" t="s">
        <v>27</v>
      </c>
      <c r="E1" s="15" t="s">
        <v>28</v>
      </c>
      <c r="F1" s="15" t="s">
        <v>29</v>
      </c>
      <c r="G1" s="15" t="s">
        <v>30</v>
      </c>
      <c r="H1" s="15" t="s">
        <v>31</v>
      </c>
      <c r="I1" s="15" t="s">
        <v>32</v>
      </c>
      <c r="J1" s="15" t="s">
        <v>33</v>
      </c>
    </row>
    <row r="2" spans="1:10" s="20" customFormat="1" ht="310.5" thickBot="1">
      <c r="A2" s="184" t="s">
        <v>34</v>
      </c>
      <c r="B2" s="153" t="s">
        <v>35</v>
      </c>
      <c r="C2" s="154">
        <v>2</v>
      </c>
      <c r="D2" s="16"/>
      <c r="E2" s="18"/>
      <c r="F2" s="17" t="s">
        <v>36</v>
      </c>
      <c r="G2" s="18" t="s">
        <v>30</v>
      </c>
      <c r="H2" s="18" t="s">
        <v>1038</v>
      </c>
      <c r="I2" s="161" t="s">
        <v>1009</v>
      </c>
      <c r="J2" s="19"/>
    </row>
    <row r="3" spans="1:10" s="20" customFormat="1" ht="124.5" thickBot="1">
      <c r="A3" s="184"/>
      <c r="B3" s="153" t="s">
        <v>37</v>
      </c>
      <c r="C3" s="155">
        <v>2</v>
      </c>
      <c r="D3" s="21">
        <v>1053</v>
      </c>
      <c r="E3" s="24"/>
      <c r="F3" s="23" t="s">
        <v>38</v>
      </c>
      <c r="G3" s="24" t="s">
        <v>30</v>
      </c>
      <c r="H3" s="24" t="s">
        <v>1038</v>
      </c>
      <c r="I3" s="24" t="s">
        <v>1010</v>
      </c>
      <c r="J3" s="25"/>
    </row>
    <row r="4" spans="1:10" s="20" customFormat="1" ht="186.5" thickBot="1">
      <c r="A4" s="184"/>
      <c r="B4" s="153" t="s">
        <v>39</v>
      </c>
      <c r="C4" s="155">
        <v>2</v>
      </c>
      <c r="D4" s="21">
        <v>1110</v>
      </c>
      <c r="E4" s="24"/>
      <c r="F4" s="23" t="s">
        <v>40</v>
      </c>
      <c r="G4" s="24" t="s">
        <v>30</v>
      </c>
      <c r="H4" s="24" t="s">
        <v>1038</v>
      </c>
      <c r="I4" s="24" t="s">
        <v>1011</v>
      </c>
      <c r="J4" s="25" t="s">
        <v>877</v>
      </c>
    </row>
    <row r="5" spans="1:10" s="20" customFormat="1" ht="139.5">
      <c r="A5" s="184"/>
      <c r="B5" s="153" t="s">
        <v>41</v>
      </c>
      <c r="C5" s="155">
        <v>2</v>
      </c>
      <c r="D5" s="21">
        <v>1059</v>
      </c>
      <c r="E5" s="24"/>
      <c r="F5" s="23" t="s">
        <v>42</v>
      </c>
      <c r="G5" s="24" t="s">
        <v>30</v>
      </c>
      <c r="H5" s="24" t="s">
        <v>1038</v>
      </c>
      <c r="I5" s="24" t="s">
        <v>1012</v>
      </c>
      <c r="J5" s="25" t="s">
        <v>877</v>
      </c>
    </row>
    <row r="6" spans="1:10" s="20" customFormat="1" ht="186">
      <c r="A6" s="184"/>
      <c r="B6" s="153" t="s">
        <v>43</v>
      </c>
      <c r="C6" s="155">
        <v>2</v>
      </c>
      <c r="D6" s="21">
        <v>1059</v>
      </c>
      <c r="E6" s="24"/>
      <c r="F6" s="23" t="s">
        <v>44</v>
      </c>
      <c r="G6" s="24" t="s">
        <v>30</v>
      </c>
      <c r="H6" s="24" t="s">
        <v>1040</v>
      </c>
      <c r="I6" s="24" t="s">
        <v>1013</v>
      </c>
      <c r="J6" s="25"/>
    </row>
    <row r="7" spans="1:10" s="20" customFormat="1" ht="124">
      <c r="A7" s="184"/>
      <c r="B7" s="153" t="s">
        <v>45</v>
      </c>
      <c r="C7" s="155">
        <v>2</v>
      </c>
      <c r="D7" s="21">
        <v>637</v>
      </c>
      <c r="E7" s="24"/>
      <c r="F7" s="23" t="s">
        <v>46</v>
      </c>
      <c r="G7" s="24" t="s">
        <v>30</v>
      </c>
      <c r="H7" s="24" t="s">
        <v>1038</v>
      </c>
      <c r="I7" s="24" t="s">
        <v>1016</v>
      </c>
      <c r="J7" s="25"/>
    </row>
    <row r="8" spans="1:10" s="20" customFormat="1" ht="109" thickBot="1">
      <c r="A8" s="184"/>
      <c r="B8" s="153" t="s">
        <v>47</v>
      </c>
      <c r="C8" s="155">
        <v>2</v>
      </c>
      <c r="D8" s="21">
        <v>637</v>
      </c>
      <c r="E8" s="24"/>
      <c r="F8" s="23" t="s">
        <v>48</v>
      </c>
      <c r="G8" s="24" t="s">
        <v>30</v>
      </c>
      <c r="H8" s="24" t="s">
        <v>1041</v>
      </c>
      <c r="I8" s="24" t="s">
        <v>1015</v>
      </c>
      <c r="J8" s="25" t="s">
        <v>1014</v>
      </c>
    </row>
    <row r="9" spans="1:10" s="20" customFormat="1" ht="186.5" thickBot="1">
      <c r="A9" s="184" t="s">
        <v>49</v>
      </c>
      <c r="B9" s="153" t="s">
        <v>50</v>
      </c>
      <c r="C9" s="155">
        <v>2</v>
      </c>
      <c r="D9" s="21">
        <v>250</v>
      </c>
      <c r="E9" s="24"/>
      <c r="F9" s="23" t="s">
        <v>51</v>
      </c>
      <c r="G9" s="24" t="s">
        <v>30</v>
      </c>
      <c r="H9" s="162" t="s">
        <v>1022</v>
      </c>
      <c r="I9" s="24" t="s">
        <v>1021</v>
      </c>
      <c r="J9" s="25"/>
    </row>
    <row r="10" spans="1:10" s="20" customFormat="1" ht="109" thickBot="1">
      <c r="A10" s="184"/>
      <c r="B10" s="153" t="s">
        <v>52</v>
      </c>
      <c r="C10" s="155">
        <v>2</v>
      </c>
      <c r="D10" s="21">
        <v>306</v>
      </c>
      <c r="E10" s="24"/>
      <c r="F10" s="23" t="s">
        <v>53</v>
      </c>
      <c r="G10" s="24" t="s">
        <v>30</v>
      </c>
      <c r="H10" s="87" t="s">
        <v>1023</v>
      </c>
      <c r="I10" s="24" t="s">
        <v>1024</v>
      </c>
      <c r="J10" s="25"/>
    </row>
    <row r="11" spans="1:10" s="20" customFormat="1" ht="403.5" thickBot="1">
      <c r="A11" s="184"/>
      <c r="B11" s="153" t="s">
        <v>54</v>
      </c>
      <c r="C11" s="155">
        <v>2</v>
      </c>
      <c r="D11" s="21">
        <v>306</v>
      </c>
      <c r="E11" s="24"/>
      <c r="F11" s="23" t="s">
        <v>55</v>
      </c>
      <c r="G11" s="24" t="s">
        <v>30</v>
      </c>
      <c r="H11" s="163" t="s">
        <v>1032</v>
      </c>
      <c r="I11" s="24" t="s">
        <v>1030</v>
      </c>
      <c r="J11" s="25" t="s">
        <v>913</v>
      </c>
    </row>
    <row r="12" spans="1:10" s="20" customFormat="1" ht="328" customHeight="1" thickBot="1">
      <c r="A12" s="184"/>
      <c r="B12" s="153" t="s">
        <v>56</v>
      </c>
      <c r="C12" s="155">
        <v>2</v>
      </c>
      <c r="D12" s="21">
        <v>306</v>
      </c>
      <c r="E12" s="24"/>
      <c r="F12" s="23" t="s">
        <v>57</v>
      </c>
      <c r="G12" s="24" t="s">
        <v>30</v>
      </c>
      <c r="H12" s="24" t="s">
        <v>1035</v>
      </c>
      <c r="I12" s="24" t="s">
        <v>1033</v>
      </c>
      <c r="J12" s="25" t="s">
        <v>913</v>
      </c>
    </row>
    <row r="13" spans="1:10" s="20" customFormat="1" ht="42.5" thickBot="1">
      <c r="A13" s="2" t="s">
        <v>58</v>
      </c>
      <c r="B13" s="153"/>
      <c r="C13" s="155"/>
      <c r="D13" s="21"/>
      <c r="E13" s="24"/>
      <c r="F13" s="23" t="s">
        <v>59</v>
      </c>
      <c r="G13" s="24" t="s">
        <v>60</v>
      </c>
      <c r="H13" s="24"/>
      <c r="I13" s="24"/>
      <c r="J13" s="25"/>
    </row>
    <row r="14" spans="1:10" s="20" customFormat="1" ht="409.6" thickBot="1">
      <c r="A14" s="184" t="s">
        <v>61</v>
      </c>
      <c r="B14" s="153" t="s">
        <v>62</v>
      </c>
      <c r="C14" s="155">
        <v>2</v>
      </c>
      <c r="D14" s="21">
        <v>602</v>
      </c>
      <c r="E14" s="24"/>
      <c r="F14" s="23" t="s">
        <v>63</v>
      </c>
      <c r="G14" s="24" t="s">
        <v>30</v>
      </c>
      <c r="H14" s="103" t="s">
        <v>1044</v>
      </c>
      <c r="I14" s="24" t="s">
        <v>1042</v>
      </c>
      <c r="J14" s="25" t="s">
        <v>1043</v>
      </c>
    </row>
    <row r="15" spans="1:10" s="20" customFormat="1" ht="16" thickBot="1">
      <c r="A15" s="184"/>
      <c r="B15" s="153" t="s">
        <v>64</v>
      </c>
      <c r="C15" s="155">
        <v>2</v>
      </c>
      <c r="D15" s="21">
        <v>284</v>
      </c>
      <c r="E15" s="24"/>
      <c r="F15" s="23" t="s">
        <v>65</v>
      </c>
      <c r="G15" s="24" t="s">
        <v>60</v>
      </c>
      <c r="H15" s="24"/>
      <c r="I15" s="24"/>
      <c r="J15" s="25"/>
    </row>
    <row r="16" spans="1:10" s="20" customFormat="1" ht="16" thickBot="1">
      <c r="A16" s="184"/>
      <c r="B16" s="153" t="s">
        <v>66</v>
      </c>
      <c r="C16" s="155">
        <v>2</v>
      </c>
      <c r="D16" s="21">
        <v>272</v>
      </c>
      <c r="E16" s="24"/>
      <c r="F16" s="23" t="s">
        <v>67</v>
      </c>
      <c r="G16" s="24" t="s">
        <v>60</v>
      </c>
      <c r="H16" s="24"/>
      <c r="I16" s="24"/>
      <c r="J16" s="25"/>
    </row>
    <row r="17" spans="1:10" s="20" customFormat="1" ht="108" customHeight="1" thickBot="1">
      <c r="A17" s="184"/>
      <c r="B17" s="153" t="s">
        <v>68</v>
      </c>
      <c r="C17" s="155">
        <v>2</v>
      </c>
      <c r="D17" s="21">
        <v>284</v>
      </c>
      <c r="E17" s="24"/>
      <c r="F17" s="23" t="s">
        <v>69</v>
      </c>
      <c r="G17" s="24" t="s">
        <v>30</v>
      </c>
      <c r="H17" s="24" t="s">
        <v>920</v>
      </c>
      <c r="I17" s="24" t="s">
        <v>1047</v>
      </c>
      <c r="J17" s="25" t="s">
        <v>930</v>
      </c>
    </row>
    <row r="18" spans="1:10" s="20" customFormat="1" ht="409.6" thickBot="1">
      <c r="A18" s="184"/>
      <c r="B18" s="153" t="s">
        <v>70</v>
      </c>
      <c r="C18" s="155">
        <v>2</v>
      </c>
      <c r="D18" s="21">
        <v>275</v>
      </c>
      <c r="E18" s="24"/>
      <c r="F18" s="23" t="s">
        <v>71</v>
      </c>
      <c r="G18" s="24" t="s">
        <v>30</v>
      </c>
      <c r="H18" s="87" t="s">
        <v>1049</v>
      </c>
      <c r="I18" s="24" t="s">
        <v>1048</v>
      </c>
      <c r="J18" s="25" t="s">
        <v>999</v>
      </c>
    </row>
    <row r="19" spans="1:10" s="20" customFormat="1" ht="78" thickBot="1">
      <c r="A19" s="184" t="s">
        <v>72</v>
      </c>
      <c r="B19" s="153" t="s">
        <v>73</v>
      </c>
      <c r="C19" s="155">
        <v>2</v>
      </c>
      <c r="D19" s="21">
        <v>1029</v>
      </c>
      <c r="E19" s="24"/>
      <c r="F19" s="23" t="s">
        <v>74</v>
      </c>
      <c r="G19" s="24" t="s">
        <v>30</v>
      </c>
      <c r="H19" s="24" t="s">
        <v>1050</v>
      </c>
      <c r="I19" s="24" t="s">
        <v>1052</v>
      </c>
      <c r="J19" s="25" t="s">
        <v>1051</v>
      </c>
    </row>
    <row r="20" spans="1:10" s="20" customFormat="1" ht="119.5" customHeight="1">
      <c r="A20" s="184"/>
      <c r="B20" s="153" t="s">
        <v>75</v>
      </c>
      <c r="C20" s="155">
        <v>2</v>
      </c>
      <c r="D20" s="21">
        <v>502</v>
      </c>
      <c r="E20" s="24"/>
      <c r="F20" s="23" t="s">
        <v>76</v>
      </c>
      <c r="G20" s="24" t="s">
        <v>30</v>
      </c>
      <c r="H20" s="24" t="s">
        <v>1055</v>
      </c>
      <c r="I20" s="87" t="s">
        <v>1053</v>
      </c>
      <c r="J20" s="25" t="s">
        <v>1054</v>
      </c>
    </row>
    <row r="21" spans="1:10" s="20" customFormat="1" ht="170.5">
      <c r="A21" s="184"/>
      <c r="B21" s="153" t="s">
        <v>77</v>
      </c>
      <c r="C21" s="155">
        <v>2</v>
      </c>
      <c r="D21" s="21">
        <v>602</v>
      </c>
      <c r="E21" s="24"/>
      <c r="F21" s="23" t="s">
        <v>78</v>
      </c>
      <c r="G21" s="24" t="s">
        <v>30</v>
      </c>
      <c r="H21" s="24" t="s">
        <v>1057</v>
      </c>
      <c r="I21" s="24" t="s">
        <v>1056</v>
      </c>
      <c r="J21" s="25"/>
    </row>
    <row r="22" spans="1:10" s="20" customFormat="1" ht="78.650000000000006" customHeight="1">
      <c r="A22" s="184"/>
      <c r="B22" s="153" t="s">
        <v>79</v>
      </c>
      <c r="C22" s="155">
        <v>2</v>
      </c>
      <c r="D22" s="21">
        <v>116</v>
      </c>
      <c r="E22" s="24"/>
      <c r="F22" s="23" t="s">
        <v>80</v>
      </c>
      <c r="G22" s="24" t="s">
        <v>30</v>
      </c>
      <c r="H22" s="24" t="s">
        <v>1059</v>
      </c>
      <c r="I22" s="87" t="s">
        <v>1058</v>
      </c>
      <c r="J22" s="25"/>
    </row>
    <row r="23" spans="1:10" s="20" customFormat="1" ht="141.65" customHeight="1">
      <c r="A23" s="184" t="s">
        <v>81</v>
      </c>
      <c r="B23" s="153" t="s">
        <v>82</v>
      </c>
      <c r="C23" s="155">
        <v>2</v>
      </c>
      <c r="D23" s="21">
        <v>320</v>
      </c>
      <c r="E23" s="24"/>
      <c r="F23" s="23" t="s">
        <v>83</v>
      </c>
      <c r="G23" s="24" t="s">
        <v>282</v>
      </c>
      <c r="H23" s="164" t="s">
        <v>1060</v>
      </c>
      <c r="I23" s="24" t="s">
        <v>952</v>
      </c>
      <c r="J23" s="25" t="s">
        <v>951</v>
      </c>
    </row>
    <row r="24" spans="1:10" s="20" customFormat="1" ht="171" thickBot="1">
      <c r="A24" s="184"/>
      <c r="B24" s="153" t="s">
        <v>84</v>
      </c>
      <c r="C24" s="155">
        <v>2</v>
      </c>
      <c r="D24" s="21">
        <v>320</v>
      </c>
      <c r="E24" s="24"/>
      <c r="F24" s="23" t="s">
        <v>85</v>
      </c>
      <c r="G24" s="24" t="s">
        <v>282</v>
      </c>
      <c r="H24" s="165" t="s">
        <v>1061</v>
      </c>
      <c r="I24" s="24" t="s">
        <v>953</v>
      </c>
      <c r="J24" s="25" t="s">
        <v>950</v>
      </c>
    </row>
    <row r="25" spans="1:10" s="20" customFormat="1" ht="171" thickBot="1">
      <c r="A25" s="184"/>
      <c r="B25" s="153" t="s">
        <v>86</v>
      </c>
      <c r="C25" s="155">
        <v>2</v>
      </c>
      <c r="D25" s="21">
        <v>320</v>
      </c>
      <c r="E25" s="24"/>
      <c r="F25" s="23" t="s">
        <v>87</v>
      </c>
      <c r="G25" s="24" t="s">
        <v>282</v>
      </c>
      <c r="H25" s="165" t="s">
        <v>1062</v>
      </c>
      <c r="I25" s="24" t="s">
        <v>948</v>
      </c>
      <c r="J25" s="25" t="s">
        <v>949</v>
      </c>
    </row>
    <row r="26" spans="1:10" s="20" customFormat="1" ht="62.5" thickBot="1">
      <c r="A26" s="184"/>
      <c r="B26" s="153" t="s">
        <v>88</v>
      </c>
      <c r="C26" s="155">
        <v>2</v>
      </c>
      <c r="D26" s="21">
        <v>320</v>
      </c>
      <c r="E26" s="24"/>
      <c r="F26" s="24" t="s">
        <v>89</v>
      </c>
      <c r="G26" s="24" t="s">
        <v>30</v>
      </c>
      <c r="H26" s="24" t="s">
        <v>1063</v>
      </c>
      <c r="I26" s="24" t="s">
        <v>1065</v>
      </c>
      <c r="J26" s="150" t="s">
        <v>1064</v>
      </c>
    </row>
    <row r="27" spans="1:10" s="20" customFormat="1" ht="107.15" customHeight="1" thickBot="1">
      <c r="A27" s="184" t="s">
        <v>90</v>
      </c>
      <c r="B27" s="153" t="s">
        <v>91</v>
      </c>
      <c r="C27" s="155">
        <v>2</v>
      </c>
      <c r="D27" s="21">
        <v>1009</v>
      </c>
      <c r="E27" s="24"/>
      <c r="F27" s="23" t="s">
        <v>92</v>
      </c>
      <c r="G27" s="24" t="s">
        <v>282</v>
      </c>
      <c r="H27" s="164" t="s">
        <v>1066</v>
      </c>
      <c r="I27" s="24" t="s">
        <v>957</v>
      </c>
      <c r="J27" s="25" t="s">
        <v>956</v>
      </c>
    </row>
    <row r="28" spans="1:10" s="20" customFormat="1" ht="109" thickBot="1">
      <c r="A28" s="184"/>
      <c r="B28" s="153" t="s">
        <v>93</v>
      </c>
      <c r="C28" s="155">
        <v>2</v>
      </c>
      <c r="D28" s="21"/>
      <c r="E28" s="24"/>
      <c r="F28" s="23" t="s">
        <v>94</v>
      </c>
      <c r="G28" s="24" t="s">
        <v>282</v>
      </c>
      <c r="H28" s="165" t="s">
        <v>1067</v>
      </c>
      <c r="I28" s="24" t="s">
        <v>958</v>
      </c>
      <c r="J28" s="25" t="s">
        <v>959</v>
      </c>
    </row>
    <row r="29" spans="1:10" s="20" customFormat="1" ht="78" thickBot="1">
      <c r="A29" s="184" t="s">
        <v>95</v>
      </c>
      <c r="B29" s="153" t="s">
        <v>96</v>
      </c>
      <c r="C29" s="155">
        <v>2</v>
      </c>
      <c r="D29" s="21"/>
      <c r="E29" s="24"/>
      <c r="F29" s="23" t="s">
        <v>97</v>
      </c>
      <c r="G29" s="24" t="s">
        <v>30</v>
      </c>
      <c r="H29" s="24" t="s">
        <v>1070</v>
      </c>
      <c r="I29" s="24" t="s">
        <v>1068</v>
      </c>
      <c r="J29" s="25" t="s">
        <v>1069</v>
      </c>
    </row>
    <row r="30" spans="1:10" s="20" customFormat="1" ht="77.5">
      <c r="A30" s="184"/>
      <c r="B30" s="153" t="s">
        <v>98</v>
      </c>
      <c r="C30" s="155">
        <v>2</v>
      </c>
      <c r="D30" s="21"/>
      <c r="E30" s="24"/>
      <c r="F30" s="23" t="s">
        <v>99</v>
      </c>
      <c r="G30" s="24" t="s">
        <v>30</v>
      </c>
      <c r="H30" s="24" t="s">
        <v>1071</v>
      </c>
      <c r="I30" s="24" t="s">
        <v>1072</v>
      </c>
      <c r="J30" s="25" t="s">
        <v>1073</v>
      </c>
    </row>
    <row r="31" spans="1:10" s="20" customFormat="1" ht="79.5" customHeight="1">
      <c r="A31" s="184" t="s">
        <v>100</v>
      </c>
      <c r="B31" s="153" t="s">
        <v>101</v>
      </c>
      <c r="C31" s="155">
        <v>2</v>
      </c>
      <c r="D31" s="21">
        <v>319</v>
      </c>
      <c r="E31" s="24"/>
      <c r="F31" s="23" t="s">
        <v>102</v>
      </c>
      <c r="G31" s="24" t="s">
        <v>30</v>
      </c>
      <c r="H31" s="24" t="s">
        <v>1074</v>
      </c>
      <c r="I31" s="24" t="s">
        <v>1075</v>
      </c>
      <c r="J31" s="25"/>
    </row>
    <row r="32" spans="1:10" s="20" customFormat="1" ht="62">
      <c r="A32" s="184"/>
      <c r="B32" s="153" t="s">
        <v>103</v>
      </c>
      <c r="C32" s="155">
        <v>2</v>
      </c>
      <c r="D32" s="21">
        <v>295</v>
      </c>
      <c r="E32" s="24"/>
      <c r="F32" s="23" t="s">
        <v>104</v>
      </c>
      <c r="G32" s="24" t="s">
        <v>30</v>
      </c>
      <c r="H32" s="24" t="s">
        <v>1076</v>
      </c>
      <c r="I32" s="24" t="s">
        <v>1077</v>
      </c>
      <c r="J32" s="25"/>
    </row>
    <row r="33" spans="1:10" s="20" customFormat="1" ht="139.5">
      <c r="A33" s="2" t="s">
        <v>105</v>
      </c>
      <c r="B33" s="153" t="s">
        <v>106</v>
      </c>
      <c r="C33" s="155">
        <v>2</v>
      </c>
      <c r="D33" s="21">
        <v>284</v>
      </c>
      <c r="E33" s="24"/>
      <c r="F33" s="23" t="s">
        <v>107</v>
      </c>
      <c r="G33" s="24" t="s">
        <v>30</v>
      </c>
      <c r="H33" s="24"/>
      <c r="I33" s="24" t="s">
        <v>1078</v>
      </c>
      <c r="J33" s="25" t="s">
        <v>975</v>
      </c>
    </row>
    <row r="34" spans="1:10" s="20" customFormat="1" ht="108.5">
      <c r="A34" s="184" t="s">
        <v>108</v>
      </c>
      <c r="B34" s="153" t="s">
        <v>109</v>
      </c>
      <c r="C34" s="155">
        <v>2</v>
      </c>
      <c r="D34" s="21">
        <v>1059</v>
      </c>
      <c r="E34" s="24"/>
      <c r="F34" s="23" t="s">
        <v>110</v>
      </c>
      <c r="G34" s="24" t="s">
        <v>30</v>
      </c>
      <c r="H34" s="24"/>
      <c r="I34" s="87" t="s">
        <v>1079</v>
      </c>
      <c r="J34" s="25" t="s">
        <v>1080</v>
      </c>
    </row>
    <row r="35" spans="1:10" s="20" customFormat="1" ht="93">
      <c r="A35" s="184"/>
      <c r="B35" s="153" t="s">
        <v>111</v>
      </c>
      <c r="C35" s="155">
        <v>2</v>
      </c>
      <c r="D35" s="21">
        <v>362</v>
      </c>
      <c r="E35" s="24"/>
      <c r="F35" s="23" t="s">
        <v>112</v>
      </c>
      <c r="G35" s="24" t="s">
        <v>30</v>
      </c>
      <c r="H35" s="24" t="s">
        <v>1083</v>
      </c>
      <c r="I35" s="24" t="s">
        <v>1082</v>
      </c>
      <c r="J35" s="25" t="s">
        <v>1081</v>
      </c>
    </row>
    <row r="36" spans="1:10" s="20" customFormat="1" ht="93">
      <c r="A36" s="184"/>
      <c r="B36" s="153" t="s">
        <v>113</v>
      </c>
      <c r="C36" s="155">
        <v>2</v>
      </c>
      <c r="D36" s="21">
        <v>367</v>
      </c>
      <c r="E36" s="24"/>
      <c r="F36" s="23" t="s">
        <v>114</v>
      </c>
      <c r="G36" s="24" t="s">
        <v>30</v>
      </c>
      <c r="H36" s="24" t="s">
        <v>1086</v>
      </c>
      <c r="I36" s="24" t="s">
        <v>1085</v>
      </c>
      <c r="J36" s="25" t="s">
        <v>1084</v>
      </c>
    </row>
    <row r="37" spans="1:10" s="20" customFormat="1" ht="16.5" customHeight="1" thickBot="1">
      <c r="A37" s="184" t="s">
        <v>115</v>
      </c>
      <c r="B37" s="153" t="s">
        <v>116</v>
      </c>
      <c r="C37" s="155">
        <v>2</v>
      </c>
      <c r="D37" s="21">
        <v>552</v>
      </c>
      <c r="E37" s="24"/>
      <c r="F37" s="23" t="s">
        <v>117</v>
      </c>
      <c r="G37" s="24" t="s">
        <v>60</v>
      </c>
      <c r="H37" s="24"/>
      <c r="I37" s="24"/>
      <c r="J37" s="25"/>
    </row>
    <row r="38" spans="1:10" s="20" customFormat="1" ht="93.5" thickBot="1">
      <c r="A38" s="184"/>
      <c r="B38" s="153" t="s">
        <v>118</v>
      </c>
      <c r="C38" s="155">
        <v>2</v>
      </c>
      <c r="D38" s="21">
        <v>646</v>
      </c>
      <c r="E38" s="24"/>
      <c r="F38" s="23" t="s">
        <v>119</v>
      </c>
      <c r="G38" s="24" t="s">
        <v>30</v>
      </c>
      <c r="H38" s="24" t="s">
        <v>1088</v>
      </c>
      <c r="I38" s="24" t="s">
        <v>1087</v>
      </c>
      <c r="J38" s="25"/>
    </row>
    <row r="39" spans="1:10" s="20" customFormat="1" ht="21.5" thickBot="1">
      <c r="A39" s="2" t="s">
        <v>120</v>
      </c>
      <c r="B39" s="153"/>
      <c r="C39" s="155"/>
      <c r="D39" s="21"/>
      <c r="E39" s="24"/>
      <c r="F39" s="23" t="s">
        <v>59</v>
      </c>
      <c r="G39" s="24" t="s">
        <v>60</v>
      </c>
      <c r="H39" s="24"/>
      <c r="I39" s="24"/>
      <c r="J39" s="25"/>
    </row>
    <row r="40" spans="1:10" s="20" customFormat="1" ht="77.5">
      <c r="A40" s="184" t="s">
        <v>121</v>
      </c>
      <c r="B40" s="153" t="s">
        <v>122</v>
      </c>
      <c r="C40" s="155">
        <v>2</v>
      </c>
      <c r="D40" s="21">
        <v>923</v>
      </c>
      <c r="E40" s="24"/>
      <c r="F40" s="23" t="s">
        <v>123</v>
      </c>
      <c r="G40" s="24" t="s">
        <v>30</v>
      </c>
      <c r="H40" s="24"/>
      <c r="I40" s="24" t="s">
        <v>1089</v>
      </c>
      <c r="J40" s="25"/>
    </row>
    <row r="41" spans="1:10" s="20" customFormat="1" ht="62">
      <c r="A41" s="184"/>
      <c r="B41" s="153" t="s">
        <v>124</v>
      </c>
      <c r="C41" s="155">
        <v>2</v>
      </c>
      <c r="D41" s="21">
        <v>494</v>
      </c>
      <c r="E41" s="24"/>
      <c r="F41" s="23" t="s">
        <v>125</v>
      </c>
      <c r="G41" s="24" t="s">
        <v>30</v>
      </c>
      <c r="H41" s="24" t="s">
        <v>1092</v>
      </c>
      <c r="I41" s="24" t="s">
        <v>1090</v>
      </c>
      <c r="J41" s="25" t="s">
        <v>1091</v>
      </c>
    </row>
    <row r="42" spans="1:10" s="20" customFormat="1" ht="77.5">
      <c r="A42" s="184"/>
      <c r="B42" s="153" t="s">
        <v>126</v>
      </c>
      <c r="C42" s="155">
        <v>2</v>
      </c>
      <c r="D42" s="21">
        <v>1104</v>
      </c>
      <c r="E42" s="24"/>
      <c r="F42" s="23" t="s">
        <v>127</v>
      </c>
      <c r="G42" s="24" t="s">
        <v>30</v>
      </c>
      <c r="H42" s="24" t="s">
        <v>1095</v>
      </c>
      <c r="I42" s="24" t="s">
        <v>1094</v>
      </c>
      <c r="J42" s="25" t="s">
        <v>1093</v>
      </c>
    </row>
    <row r="43" spans="1:10" s="20" customFormat="1" ht="170.5">
      <c r="A43" s="184"/>
      <c r="B43" s="153" t="s">
        <v>128</v>
      </c>
      <c r="C43" s="155">
        <v>2</v>
      </c>
      <c r="D43" s="21"/>
      <c r="E43" s="24"/>
      <c r="F43" s="23" t="s">
        <v>129</v>
      </c>
      <c r="G43" s="24" t="s">
        <v>282</v>
      </c>
      <c r="H43" s="166" t="s">
        <v>1096</v>
      </c>
      <c r="I43" s="24" t="s">
        <v>984</v>
      </c>
      <c r="J43" s="25" t="s">
        <v>980</v>
      </c>
    </row>
    <row r="44" spans="1:10" s="20" customFormat="1" ht="93">
      <c r="A44" s="184"/>
      <c r="B44" s="153" t="s">
        <v>130</v>
      </c>
      <c r="C44" s="155">
        <v>2</v>
      </c>
      <c r="D44" s="21">
        <v>265</v>
      </c>
      <c r="E44" s="24"/>
      <c r="F44" s="23" t="s">
        <v>131</v>
      </c>
      <c r="G44" s="24" t="s">
        <v>30</v>
      </c>
      <c r="H44" s="24"/>
      <c r="I44" s="24" t="s">
        <v>1097</v>
      </c>
      <c r="J44" s="25" t="s">
        <v>1098</v>
      </c>
    </row>
    <row r="45" spans="1:10" s="20" customFormat="1" ht="62">
      <c r="A45" s="184"/>
      <c r="B45" s="153" t="s">
        <v>132</v>
      </c>
      <c r="C45" s="156">
        <v>2</v>
      </c>
      <c r="D45" s="27">
        <v>477</v>
      </c>
      <c r="E45" s="78"/>
      <c r="F45" s="29" t="s">
        <v>133</v>
      </c>
      <c r="G45" s="78" t="s">
        <v>30</v>
      </c>
      <c r="H45" s="78"/>
      <c r="I45" s="78" t="s">
        <v>1100</v>
      </c>
      <c r="J45" s="79" t="s">
        <v>979</v>
      </c>
    </row>
  </sheetData>
  <mergeCells count="11">
    <mergeCell ref="A2:A8"/>
    <mergeCell ref="A9:A12"/>
    <mergeCell ref="A14:A18"/>
    <mergeCell ref="A19:A22"/>
    <mergeCell ref="A23:A26"/>
    <mergeCell ref="A40:A45"/>
    <mergeCell ref="A27:A28"/>
    <mergeCell ref="A29:A30"/>
    <mergeCell ref="A31:A32"/>
    <mergeCell ref="A34:A36"/>
    <mergeCell ref="A37:A38"/>
  </mergeCells>
  <dataValidations count="1">
    <dataValidation type="list" operator="equal" showErrorMessage="1" sqref="G2:G45" xr:uid="{00000000-0002-0000-0100-000000000000}">
      <formula1>"Valid,Non-valid,Not Applicable"</formula1>
      <formula2>0</formula2>
    </dataValidation>
  </dataValidations>
  <pageMargins left="0.78749999999999998" right="0.78749999999999998" top="1.0249999999999999" bottom="1.0249999999999999" header="0.78749999999999998" footer="0.78749999999999998"/>
  <pageSetup paperSize="9" firstPageNumber="0" orientation="portrait" horizontalDpi="300" verticalDpi="300"/>
  <headerFooter>
    <oddHeader>&amp;C&amp;A</oddHeader>
    <oddFooter>&amp;CPage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J58"/>
  <sheetViews>
    <sheetView topLeftCell="A43" zoomScale="72" zoomScaleNormal="70" workbookViewId="0">
      <selection activeCell="H58" sqref="H58"/>
    </sheetView>
  </sheetViews>
  <sheetFormatPr defaultColWidth="8.81640625" defaultRowHeight="21"/>
  <cols>
    <col min="1" max="1" width="34.26953125" style="3" customWidth="1"/>
    <col min="2" max="2" width="8.81640625" style="31"/>
    <col min="3" max="3" width="14.81640625" style="32" customWidth="1"/>
    <col min="4" max="5" width="8.81640625" style="32"/>
    <col min="6" max="6" width="73" style="14" customWidth="1"/>
    <col min="7" max="7" width="25.453125" style="14" customWidth="1"/>
    <col min="8" max="8" width="30.26953125" style="14" customWidth="1"/>
    <col min="9" max="9" width="33.453125" style="14" customWidth="1"/>
    <col min="10" max="10" width="29" style="14" customWidth="1"/>
    <col min="11" max="1024" width="8.81640625" style="14"/>
  </cols>
  <sheetData>
    <row r="1" spans="1:10" s="36" customFormat="1" ht="21.5" thickBot="1">
      <c r="A1" s="33" t="s">
        <v>24</v>
      </c>
      <c r="B1" s="34" t="s">
        <v>25</v>
      </c>
      <c r="C1" s="34" t="s">
        <v>26</v>
      </c>
      <c r="D1" s="34" t="s">
        <v>27</v>
      </c>
      <c r="E1" s="34" t="s">
        <v>28</v>
      </c>
      <c r="F1" s="35" t="s">
        <v>29</v>
      </c>
      <c r="G1" s="35" t="s">
        <v>30</v>
      </c>
      <c r="H1" s="35" t="s">
        <v>31</v>
      </c>
      <c r="I1" s="35" t="s">
        <v>32</v>
      </c>
      <c r="J1" s="35" t="s">
        <v>33</v>
      </c>
    </row>
    <row r="2" spans="1:10" s="20" customFormat="1" ht="48" customHeight="1" thickBot="1">
      <c r="A2" s="185" t="s">
        <v>1000</v>
      </c>
      <c r="B2" s="37" t="s">
        <v>134</v>
      </c>
      <c r="C2" s="38">
        <v>1</v>
      </c>
      <c r="D2" s="39">
        <v>521</v>
      </c>
      <c r="E2" s="40" t="s">
        <v>135</v>
      </c>
      <c r="F2" s="41" t="s">
        <v>136</v>
      </c>
      <c r="G2" s="180" t="s">
        <v>30</v>
      </c>
      <c r="H2" s="43" t="s">
        <v>1109</v>
      </c>
      <c r="I2" s="148" t="s">
        <v>871</v>
      </c>
      <c r="J2" s="44" t="s">
        <v>872</v>
      </c>
    </row>
    <row r="3" spans="1:10" s="20" customFormat="1" ht="279.5" thickBot="1">
      <c r="A3" s="185"/>
      <c r="B3" s="37" t="s">
        <v>137</v>
      </c>
      <c r="C3" s="45">
        <v>1</v>
      </c>
      <c r="D3" s="46">
        <v>521</v>
      </c>
      <c r="E3" s="21" t="s">
        <v>135</v>
      </c>
      <c r="F3" s="23" t="s">
        <v>138</v>
      </c>
      <c r="G3" s="167" t="s">
        <v>30</v>
      </c>
      <c r="H3" s="24" t="s">
        <v>1110</v>
      </c>
      <c r="I3" s="24" t="s">
        <v>873</v>
      </c>
      <c r="J3" s="149" t="s">
        <v>868</v>
      </c>
    </row>
    <row r="4" spans="1:10" s="20" customFormat="1" ht="341">
      <c r="A4" s="185"/>
      <c r="B4" s="37" t="s">
        <v>139</v>
      </c>
      <c r="C4" s="45">
        <v>1</v>
      </c>
      <c r="D4" s="46">
        <v>521</v>
      </c>
      <c r="E4" s="21" t="s">
        <v>135</v>
      </c>
      <c r="F4" s="23" t="s">
        <v>140</v>
      </c>
      <c r="G4" s="167" t="s">
        <v>30</v>
      </c>
      <c r="H4" s="24" t="s">
        <v>1111</v>
      </c>
      <c r="I4" s="147" t="s">
        <v>874</v>
      </c>
      <c r="J4" s="25" t="s">
        <v>882</v>
      </c>
    </row>
    <row r="5" spans="1:10" s="20" customFormat="1" ht="217">
      <c r="A5" s="185"/>
      <c r="B5" s="37" t="s">
        <v>141</v>
      </c>
      <c r="C5" s="45">
        <v>1</v>
      </c>
      <c r="D5" s="46">
        <v>521</v>
      </c>
      <c r="E5" s="21" t="s">
        <v>135</v>
      </c>
      <c r="F5" s="23" t="s">
        <v>142</v>
      </c>
      <c r="G5" s="167" t="s">
        <v>30</v>
      </c>
      <c r="H5" s="24" t="s">
        <v>1102</v>
      </c>
      <c r="I5" s="147" t="s">
        <v>869</v>
      </c>
      <c r="J5" s="25" t="s">
        <v>870</v>
      </c>
    </row>
    <row r="6" spans="1:10" s="20" customFormat="1" ht="213.5">
      <c r="A6" s="185"/>
      <c r="B6" s="37" t="s">
        <v>143</v>
      </c>
      <c r="C6" s="45">
        <v>1</v>
      </c>
      <c r="D6" s="46">
        <v>620</v>
      </c>
      <c r="E6" s="21" t="s">
        <v>135</v>
      </c>
      <c r="F6" s="23" t="s">
        <v>144</v>
      </c>
      <c r="G6" s="167" t="s">
        <v>30</v>
      </c>
      <c r="H6" s="24" t="s">
        <v>1112</v>
      </c>
      <c r="I6" s="150" t="s">
        <v>875</v>
      </c>
      <c r="J6" s="151" t="s">
        <v>881</v>
      </c>
    </row>
    <row r="7" spans="1:10" s="20" customFormat="1" ht="238.5">
      <c r="A7" s="185"/>
      <c r="B7" s="37" t="s">
        <v>145</v>
      </c>
      <c r="C7" s="45">
        <v>1</v>
      </c>
      <c r="D7" s="46">
        <v>620</v>
      </c>
      <c r="E7" s="21" t="s">
        <v>135</v>
      </c>
      <c r="F7" s="23" t="s">
        <v>146</v>
      </c>
      <c r="G7" s="167" t="s">
        <v>30</v>
      </c>
      <c r="H7" s="24" t="s">
        <v>1113</v>
      </c>
      <c r="I7" s="150" t="s">
        <v>876</v>
      </c>
      <c r="J7" s="151" t="s">
        <v>880</v>
      </c>
    </row>
    <row r="8" spans="1:10" s="20" customFormat="1" ht="341">
      <c r="A8" s="185"/>
      <c r="B8" s="37" t="s">
        <v>147</v>
      </c>
      <c r="C8" s="45">
        <v>1</v>
      </c>
      <c r="D8" s="46">
        <v>521</v>
      </c>
      <c r="E8" s="21" t="s">
        <v>135</v>
      </c>
      <c r="F8" s="23" t="s">
        <v>148</v>
      </c>
      <c r="G8" s="22" t="s">
        <v>282</v>
      </c>
      <c r="H8" s="24"/>
      <c r="I8" s="24" t="s">
        <v>878</v>
      </c>
      <c r="J8" s="151" t="s">
        <v>879</v>
      </c>
    </row>
    <row r="9" spans="1:10" s="20" customFormat="1" ht="310">
      <c r="A9" s="185"/>
      <c r="B9" s="37" t="s">
        <v>149</v>
      </c>
      <c r="C9" s="45">
        <v>1</v>
      </c>
      <c r="D9" s="46">
        <v>521</v>
      </c>
      <c r="E9" s="21" t="s">
        <v>135</v>
      </c>
      <c r="F9" s="23" t="s">
        <v>150</v>
      </c>
      <c r="G9" s="167" t="s">
        <v>60</v>
      </c>
      <c r="H9" s="24"/>
      <c r="I9" s="24" t="s">
        <v>883</v>
      </c>
      <c r="J9" s="149" t="s">
        <v>884</v>
      </c>
    </row>
    <row r="10" spans="1:10" s="20" customFormat="1" ht="356.5">
      <c r="A10" s="185"/>
      <c r="B10" s="37" t="s">
        <v>151</v>
      </c>
      <c r="C10" s="45">
        <v>1</v>
      </c>
      <c r="D10" s="46">
        <v>521</v>
      </c>
      <c r="E10" s="21" t="s">
        <v>135</v>
      </c>
      <c r="F10" s="23" t="s">
        <v>152</v>
      </c>
      <c r="G10" s="22" t="s">
        <v>282</v>
      </c>
      <c r="H10" s="24"/>
      <c r="I10" s="24" t="s">
        <v>885</v>
      </c>
      <c r="J10" s="25" t="s">
        <v>886</v>
      </c>
    </row>
    <row r="11" spans="1:10" s="20" customFormat="1" ht="341">
      <c r="A11" s="185"/>
      <c r="B11" s="37" t="s">
        <v>153</v>
      </c>
      <c r="C11" s="45">
        <v>1</v>
      </c>
      <c r="D11" s="46">
        <v>263</v>
      </c>
      <c r="E11" s="21" t="s">
        <v>135</v>
      </c>
      <c r="F11" s="23" t="s">
        <v>154</v>
      </c>
      <c r="G11" s="22" t="s">
        <v>30</v>
      </c>
      <c r="H11" s="24"/>
      <c r="I11" s="24" t="s">
        <v>887</v>
      </c>
      <c r="J11" s="25" t="s">
        <v>888</v>
      </c>
    </row>
    <row r="12" spans="1:10" s="20" customFormat="1" ht="251">
      <c r="A12" s="185"/>
      <c r="B12" s="37" t="s">
        <v>155</v>
      </c>
      <c r="C12" s="45">
        <v>1</v>
      </c>
      <c r="D12" s="46">
        <v>521</v>
      </c>
      <c r="E12" s="21" t="s">
        <v>135</v>
      </c>
      <c r="F12" s="23" t="s">
        <v>156</v>
      </c>
      <c r="G12" s="22" t="s">
        <v>60</v>
      </c>
      <c r="H12" s="24"/>
      <c r="I12" s="150" t="s">
        <v>889</v>
      </c>
      <c r="J12" s="149" t="s">
        <v>890</v>
      </c>
    </row>
    <row r="13" spans="1:10" s="20" customFormat="1" ht="356.5">
      <c r="A13" s="185"/>
      <c r="B13" s="37" t="s">
        <v>157</v>
      </c>
      <c r="C13" s="45">
        <v>1</v>
      </c>
      <c r="D13" s="46">
        <v>521</v>
      </c>
      <c r="E13" s="21" t="s">
        <v>135</v>
      </c>
      <c r="F13" s="23" t="s">
        <v>158</v>
      </c>
      <c r="G13" s="22" t="s">
        <v>60</v>
      </c>
      <c r="H13" s="24"/>
      <c r="I13" s="24" t="s">
        <v>891</v>
      </c>
      <c r="J13" s="149" t="s">
        <v>892</v>
      </c>
    </row>
    <row r="14" spans="1:10" s="20" customFormat="1" ht="111" customHeight="1">
      <c r="A14" s="185" t="s">
        <v>1005</v>
      </c>
      <c r="B14" s="37" t="s">
        <v>159</v>
      </c>
      <c r="C14" s="45">
        <v>1</v>
      </c>
      <c r="D14" s="46">
        <v>307</v>
      </c>
      <c r="E14" s="21" t="s">
        <v>160</v>
      </c>
      <c r="F14" s="23" t="s">
        <v>161</v>
      </c>
      <c r="G14" s="167" t="s">
        <v>30</v>
      </c>
      <c r="H14" s="24" t="s">
        <v>1166</v>
      </c>
      <c r="I14" s="24" t="s">
        <v>893</v>
      </c>
      <c r="J14" s="149" t="s">
        <v>894</v>
      </c>
    </row>
    <row r="15" spans="1:10" s="20" customFormat="1" ht="325.5">
      <c r="A15" s="185"/>
      <c r="B15" s="37" t="s">
        <v>162</v>
      </c>
      <c r="C15" s="45">
        <v>1</v>
      </c>
      <c r="D15" s="46">
        <v>304</v>
      </c>
      <c r="E15" s="21" t="s">
        <v>163</v>
      </c>
      <c r="F15" s="23" t="s">
        <v>164</v>
      </c>
      <c r="G15" s="22" t="s">
        <v>282</v>
      </c>
      <c r="H15" s="24"/>
      <c r="I15" s="24" t="s">
        <v>895</v>
      </c>
      <c r="J15" s="149" t="s">
        <v>896</v>
      </c>
    </row>
    <row r="16" spans="1:10" s="20" customFormat="1" ht="356.5">
      <c r="A16" s="185"/>
      <c r="B16" s="37" t="s">
        <v>165</v>
      </c>
      <c r="C16" s="45">
        <v>1</v>
      </c>
      <c r="D16" s="46">
        <v>620</v>
      </c>
      <c r="E16" s="21"/>
      <c r="F16" s="23" t="s">
        <v>166</v>
      </c>
      <c r="G16" s="174" t="s">
        <v>30</v>
      </c>
      <c r="H16" s="24"/>
      <c r="I16" s="24" t="s">
        <v>897</v>
      </c>
      <c r="J16" s="149" t="s">
        <v>898</v>
      </c>
    </row>
    <row r="17" spans="1:10" s="20" customFormat="1" ht="356.5">
      <c r="A17" s="185"/>
      <c r="B17" s="37" t="s">
        <v>167</v>
      </c>
      <c r="C17" s="47">
        <v>3</v>
      </c>
      <c r="D17" s="46">
        <v>308</v>
      </c>
      <c r="E17" s="21" t="s">
        <v>168</v>
      </c>
      <c r="F17" s="23" t="s">
        <v>169</v>
      </c>
      <c r="G17" s="22" t="s">
        <v>30</v>
      </c>
      <c r="H17" s="24"/>
      <c r="I17" s="24" t="s">
        <v>900</v>
      </c>
      <c r="J17" s="149" t="s">
        <v>899</v>
      </c>
    </row>
    <row r="18" spans="1:10" s="20" customFormat="1" ht="356.5">
      <c r="A18" s="185"/>
      <c r="B18" s="37" t="s">
        <v>170</v>
      </c>
      <c r="C18" s="47">
        <v>3</v>
      </c>
      <c r="D18" s="46">
        <v>319</v>
      </c>
      <c r="E18" s="21" t="s">
        <v>171</v>
      </c>
      <c r="F18" s="23" t="s">
        <v>172</v>
      </c>
      <c r="G18" s="22" t="s">
        <v>282</v>
      </c>
      <c r="H18" s="24"/>
      <c r="I18" s="24" t="s">
        <v>901</v>
      </c>
      <c r="J18" s="149" t="s">
        <v>902</v>
      </c>
    </row>
    <row r="19" spans="1:10" s="20" customFormat="1" ht="341">
      <c r="A19" s="185"/>
      <c r="B19" s="37" t="s">
        <v>173</v>
      </c>
      <c r="C19" s="47">
        <v>3</v>
      </c>
      <c r="D19" s="46">
        <v>308</v>
      </c>
      <c r="E19" s="21" t="s">
        <v>174</v>
      </c>
      <c r="F19" s="23" t="s">
        <v>175</v>
      </c>
      <c r="G19" s="22" t="s">
        <v>282</v>
      </c>
      <c r="H19" s="24"/>
      <c r="I19" s="24" t="s">
        <v>903</v>
      </c>
      <c r="J19" s="149" t="s">
        <v>904</v>
      </c>
    </row>
    <row r="20" spans="1:10" s="20" customFormat="1" ht="372">
      <c r="A20" s="185"/>
      <c r="B20" s="37" t="s">
        <v>176</v>
      </c>
      <c r="C20" s="47">
        <v>3</v>
      </c>
      <c r="D20" s="46">
        <v>308</v>
      </c>
      <c r="E20" s="21" t="s">
        <v>177</v>
      </c>
      <c r="F20" s="23" t="s">
        <v>178</v>
      </c>
      <c r="G20" s="22" t="s">
        <v>282</v>
      </c>
      <c r="H20" s="24"/>
      <c r="I20" s="24" t="s">
        <v>905</v>
      </c>
      <c r="J20" s="149" t="s">
        <v>906</v>
      </c>
    </row>
    <row r="21" spans="1:10" s="20" customFormat="1" ht="79.5" customHeight="1">
      <c r="A21" s="185" t="s">
        <v>179</v>
      </c>
      <c r="B21" s="37" t="s">
        <v>180</v>
      </c>
      <c r="C21" s="45">
        <v>1</v>
      </c>
      <c r="D21" s="46">
        <v>330</v>
      </c>
      <c r="E21" s="21" t="s">
        <v>181</v>
      </c>
      <c r="F21" s="23" t="s">
        <v>182</v>
      </c>
      <c r="G21" s="22" t="s">
        <v>60</v>
      </c>
      <c r="H21" s="24"/>
      <c r="I21" s="24" t="s">
        <v>907</v>
      </c>
      <c r="J21" s="25" t="s">
        <v>908</v>
      </c>
    </row>
    <row r="22" spans="1:10" s="20" customFormat="1" ht="409.5">
      <c r="A22" s="185"/>
      <c r="B22" s="37" t="s">
        <v>183</v>
      </c>
      <c r="C22" s="48">
        <v>2</v>
      </c>
      <c r="D22" s="46">
        <v>308</v>
      </c>
      <c r="E22" s="21" t="s">
        <v>184</v>
      </c>
      <c r="F22" s="23" t="s">
        <v>185</v>
      </c>
      <c r="G22" s="22" t="s">
        <v>282</v>
      </c>
      <c r="H22" s="24"/>
      <c r="I22" s="24" t="s">
        <v>909</v>
      </c>
      <c r="J22" s="25" t="s">
        <v>910</v>
      </c>
    </row>
    <row r="23" spans="1:10" s="20" customFormat="1" ht="356.5">
      <c r="A23" s="185"/>
      <c r="B23" s="37" t="s">
        <v>186</v>
      </c>
      <c r="C23" s="48">
        <v>2</v>
      </c>
      <c r="D23" s="46">
        <v>287</v>
      </c>
      <c r="E23" s="21" t="s">
        <v>187</v>
      </c>
      <c r="F23" s="23" t="s">
        <v>188</v>
      </c>
      <c r="G23" s="22" t="s">
        <v>282</v>
      </c>
      <c r="H23" s="24"/>
      <c r="I23" s="24" t="s">
        <v>911</v>
      </c>
      <c r="J23" s="25" t="s">
        <v>912</v>
      </c>
    </row>
    <row r="24" spans="1:10" s="20" customFormat="1" ht="95.25" customHeight="1">
      <c r="A24" s="185" t="s">
        <v>1017</v>
      </c>
      <c r="B24" s="37" t="s">
        <v>189</v>
      </c>
      <c r="C24" s="48">
        <v>2</v>
      </c>
      <c r="D24" s="46">
        <v>916</v>
      </c>
      <c r="E24" s="21" t="s">
        <v>135</v>
      </c>
      <c r="F24" s="23" t="s">
        <v>190</v>
      </c>
      <c r="G24" s="167" t="s">
        <v>30</v>
      </c>
      <c r="H24" s="24" t="s">
        <v>1001</v>
      </c>
      <c r="I24" s="24" t="s">
        <v>914</v>
      </c>
      <c r="J24" s="25" t="s">
        <v>915</v>
      </c>
    </row>
    <row r="25" spans="1:10" s="20" customFormat="1" ht="403">
      <c r="A25" s="185"/>
      <c r="B25" s="37" t="s">
        <v>191</v>
      </c>
      <c r="C25" s="48">
        <v>2</v>
      </c>
      <c r="D25" s="46">
        <v>916</v>
      </c>
      <c r="E25" s="21" t="s">
        <v>135</v>
      </c>
      <c r="F25" s="23" t="s">
        <v>192</v>
      </c>
      <c r="G25" s="167" t="s">
        <v>30</v>
      </c>
      <c r="H25" s="24" t="s">
        <v>1002</v>
      </c>
      <c r="I25" s="24" t="s">
        <v>916</v>
      </c>
      <c r="J25" s="25" t="s">
        <v>917</v>
      </c>
    </row>
    <row r="26" spans="1:10" s="20" customFormat="1" ht="409.5">
      <c r="A26" s="185"/>
      <c r="B26" s="37" t="s">
        <v>193</v>
      </c>
      <c r="C26" s="48">
        <v>2</v>
      </c>
      <c r="D26" s="46">
        <v>916</v>
      </c>
      <c r="E26" s="21" t="s">
        <v>135</v>
      </c>
      <c r="F26" s="23" t="s">
        <v>194</v>
      </c>
      <c r="G26" s="167" t="s">
        <v>30</v>
      </c>
      <c r="H26" s="24" t="s">
        <v>1003</v>
      </c>
      <c r="I26" s="24" t="s">
        <v>918</v>
      </c>
      <c r="J26" s="25" t="s">
        <v>919</v>
      </c>
    </row>
    <row r="27" spans="1:10" s="20" customFormat="1" ht="310">
      <c r="A27" s="185"/>
      <c r="B27" s="37" t="s">
        <v>195</v>
      </c>
      <c r="C27" s="48">
        <v>2</v>
      </c>
      <c r="D27" s="46">
        <v>916</v>
      </c>
      <c r="E27" s="21" t="s">
        <v>135</v>
      </c>
      <c r="F27" s="23" t="s">
        <v>196</v>
      </c>
      <c r="G27" s="167" t="s">
        <v>60</v>
      </c>
      <c r="H27" s="24" t="s">
        <v>1004</v>
      </c>
      <c r="I27" s="24" t="s">
        <v>921</v>
      </c>
      <c r="J27" s="25" t="s">
        <v>922</v>
      </c>
    </row>
    <row r="28" spans="1:10" s="20" customFormat="1" ht="341">
      <c r="A28" s="185"/>
      <c r="B28" s="37" t="s">
        <v>197</v>
      </c>
      <c r="C28" s="48">
        <v>2</v>
      </c>
      <c r="D28" s="46">
        <v>916</v>
      </c>
      <c r="E28" s="21" t="s">
        <v>135</v>
      </c>
      <c r="F28" s="23" t="s">
        <v>198</v>
      </c>
      <c r="G28" s="167" t="s">
        <v>30</v>
      </c>
      <c r="H28" s="22"/>
      <c r="I28" s="24" t="s">
        <v>923</v>
      </c>
      <c r="J28" s="25" t="s">
        <v>924</v>
      </c>
    </row>
    <row r="29" spans="1:10" s="20" customFormat="1" ht="48" customHeight="1">
      <c r="A29" s="185" t="s">
        <v>1018</v>
      </c>
      <c r="B29" s="37" t="s">
        <v>199</v>
      </c>
      <c r="C29" s="45">
        <v>1</v>
      </c>
      <c r="D29" s="46">
        <v>640</v>
      </c>
      <c r="E29" s="21" t="s">
        <v>135</v>
      </c>
      <c r="F29" s="23" t="s">
        <v>200</v>
      </c>
      <c r="G29" s="167" t="s">
        <v>282</v>
      </c>
      <c r="H29" s="22"/>
      <c r="I29" s="24" t="s">
        <v>925</v>
      </c>
      <c r="J29" s="25" t="s">
        <v>926</v>
      </c>
    </row>
    <row r="30" spans="1:10" s="20" customFormat="1" ht="310">
      <c r="A30" s="185"/>
      <c r="B30" s="37" t="s">
        <v>201</v>
      </c>
      <c r="C30" s="45">
        <v>1</v>
      </c>
      <c r="D30" s="46">
        <v>640</v>
      </c>
      <c r="E30" s="21" t="s">
        <v>135</v>
      </c>
      <c r="F30" s="23" t="s">
        <v>202</v>
      </c>
      <c r="G30" s="167" t="s">
        <v>30</v>
      </c>
      <c r="H30" s="22" t="s">
        <v>1006</v>
      </c>
      <c r="I30" s="24" t="s">
        <v>927</v>
      </c>
      <c r="J30" s="25" t="s">
        <v>928</v>
      </c>
    </row>
    <row r="31" spans="1:10" s="20" customFormat="1" ht="409.5">
      <c r="A31" s="185"/>
      <c r="B31" s="37" t="s">
        <v>203</v>
      </c>
      <c r="C31" s="45">
        <v>1</v>
      </c>
      <c r="D31" s="46">
        <v>640</v>
      </c>
      <c r="E31" s="21" t="s">
        <v>135</v>
      </c>
      <c r="F31" s="23" t="s">
        <v>204</v>
      </c>
      <c r="G31" s="167" t="s">
        <v>30</v>
      </c>
      <c r="H31" s="24" t="s">
        <v>1007</v>
      </c>
      <c r="I31" s="24" t="s">
        <v>929</v>
      </c>
      <c r="J31" s="25" t="s">
        <v>931</v>
      </c>
    </row>
    <row r="32" spans="1:10" s="20" customFormat="1" ht="310">
      <c r="A32" s="185"/>
      <c r="B32" s="37" t="s">
        <v>205</v>
      </c>
      <c r="C32" s="45">
        <v>1</v>
      </c>
      <c r="D32" s="46">
        <v>16</v>
      </c>
      <c r="E32" s="21" t="s">
        <v>181</v>
      </c>
      <c r="F32" s="23" t="s">
        <v>206</v>
      </c>
      <c r="G32" s="167" t="s">
        <v>30</v>
      </c>
      <c r="H32" s="22" t="s">
        <v>1008</v>
      </c>
      <c r="I32" s="24" t="s">
        <v>932</v>
      </c>
      <c r="J32" s="149" t="s">
        <v>933</v>
      </c>
    </row>
    <row r="33" spans="1:10" s="20" customFormat="1" ht="341">
      <c r="A33" s="185"/>
      <c r="B33" s="37" t="s">
        <v>207</v>
      </c>
      <c r="C33" s="45">
        <v>1</v>
      </c>
      <c r="D33" s="46">
        <v>304</v>
      </c>
      <c r="E33" s="21" t="s">
        <v>208</v>
      </c>
      <c r="F33" s="23" t="s">
        <v>209</v>
      </c>
      <c r="G33" s="167" t="s">
        <v>30</v>
      </c>
      <c r="H33" s="22" t="s">
        <v>1162</v>
      </c>
      <c r="I33" s="24" t="s">
        <v>934</v>
      </c>
      <c r="J33" s="149" t="s">
        <v>935</v>
      </c>
    </row>
    <row r="34" spans="1:10" s="20" customFormat="1" ht="294.5">
      <c r="A34" s="185"/>
      <c r="B34" s="37" t="s">
        <v>210</v>
      </c>
      <c r="C34" s="45">
        <v>1</v>
      </c>
      <c r="D34" s="46">
        <v>640</v>
      </c>
      <c r="E34" s="21" t="s">
        <v>135</v>
      </c>
      <c r="F34" s="23" t="s">
        <v>211</v>
      </c>
      <c r="G34" s="22" t="s">
        <v>282</v>
      </c>
      <c r="H34" s="22"/>
      <c r="I34" s="24" t="s">
        <v>936</v>
      </c>
      <c r="J34" s="149" t="s">
        <v>937</v>
      </c>
    </row>
    <row r="35" spans="1:10" s="20" customFormat="1" ht="341">
      <c r="A35" s="185"/>
      <c r="B35" s="37" t="s">
        <v>212</v>
      </c>
      <c r="C35" s="48">
        <v>2</v>
      </c>
      <c r="D35" s="46">
        <v>308</v>
      </c>
      <c r="E35" s="21" t="s">
        <v>208</v>
      </c>
      <c r="F35" s="23" t="s">
        <v>213</v>
      </c>
      <c r="G35" s="167" t="s">
        <v>282</v>
      </c>
      <c r="H35" s="22" t="s">
        <v>1163</v>
      </c>
      <c r="I35" s="24" t="s">
        <v>938</v>
      </c>
      <c r="J35" s="149" t="s">
        <v>939</v>
      </c>
    </row>
    <row r="36" spans="1:10" s="20" customFormat="1" ht="16.5" customHeight="1">
      <c r="A36" s="185" t="s">
        <v>214</v>
      </c>
      <c r="B36" s="37" t="s">
        <v>215</v>
      </c>
      <c r="C36" s="48">
        <v>2</v>
      </c>
      <c r="D36" s="46">
        <v>308</v>
      </c>
      <c r="E36" s="21" t="s">
        <v>216</v>
      </c>
      <c r="F36" s="23" t="s">
        <v>217</v>
      </c>
      <c r="G36" s="167" t="s">
        <v>30</v>
      </c>
      <c r="H36" s="22" t="s">
        <v>1164</v>
      </c>
      <c r="I36" s="24" t="s">
        <v>940</v>
      </c>
      <c r="J36" s="149" t="s">
        <v>941</v>
      </c>
    </row>
    <row r="37" spans="1:10" s="20" customFormat="1" ht="263.5">
      <c r="A37" s="185"/>
      <c r="B37" s="37" t="s">
        <v>218</v>
      </c>
      <c r="C37" s="48">
        <v>2</v>
      </c>
      <c r="D37" s="46">
        <v>330</v>
      </c>
      <c r="E37" s="21" t="s">
        <v>216</v>
      </c>
      <c r="F37" s="23" t="s">
        <v>219</v>
      </c>
      <c r="G37" s="167" t="s">
        <v>282</v>
      </c>
      <c r="H37" s="22"/>
      <c r="I37" s="24" t="s">
        <v>940</v>
      </c>
      <c r="J37" s="149" t="s">
        <v>941</v>
      </c>
    </row>
    <row r="38" spans="1:10" s="20" customFormat="1" ht="310">
      <c r="A38" s="185"/>
      <c r="B38" s="37" t="s">
        <v>220</v>
      </c>
      <c r="C38" s="48">
        <v>2</v>
      </c>
      <c r="D38" s="46">
        <v>310</v>
      </c>
      <c r="E38" s="21" t="s">
        <v>216</v>
      </c>
      <c r="F38" s="23" t="s">
        <v>221</v>
      </c>
      <c r="G38" s="167" t="s">
        <v>282</v>
      </c>
      <c r="H38" s="22"/>
      <c r="I38" s="24" t="s">
        <v>942</v>
      </c>
      <c r="J38" s="149" t="s">
        <v>943</v>
      </c>
    </row>
    <row r="39" spans="1:10" s="20" customFormat="1" ht="48" customHeight="1">
      <c r="A39" s="185" t="s">
        <v>222</v>
      </c>
      <c r="B39" s="37" t="s">
        <v>223</v>
      </c>
      <c r="C39" s="45">
        <v>1</v>
      </c>
      <c r="D39" s="46">
        <v>287</v>
      </c>
      <c r="E39" s="21" t="s">
        <v>224</v>
      </c>
      <c r="F39" s="23" t="s">
        <v>225</v>
      </c>
      <c r="G39" s="22" t="s">
        <v>282</v>
      </c>
      <c r="H39" s="22"/>
      <c r="I39" s="24" t="s">
        <v>944</v>
      </c>
      <c r="J39" s="25" t="s">
        <v>945</v>
      </c>
    </row>
    <row r="40" spans="1:10" s="20" customFormat="1" ht="279">
      <c r="A40" s="185"/>
      <c r="B40" s="37" t="s">
        <v>226</v>
      </c>
      <c r="C40" s="45">
        <v>1</v>
      </c>
      <c r="D40" s="46">
        <v>287</v>
      </c>
      <c r="E40" s="21" t="s">
        <v>224</v>
      </c>
      <c r="F40" s="23" t="s">
        <v>227</v>
      </c>
      <c r="G40" s="167" t="s">
        <v>282</v>
      </c>
      <c r="H40" s="22"/>
      <c r="I40" s="24" t="s">
        <v>946</v>
      </c>
      <c r="J40" s="25" t="s">
        <v>947</v>
      </c>
    </row>
    <row r="41" spans="1:10" s="20" customFormat="1" ht="310">
      <c r="A41" s="185"/>
      <c r="B41" s="37" t="s">
        <v>228</v>
      </c>
      <c r="C41" s="45">
        <v>1</v>
      </c>
      <c r="D41" s="46">
        <v>287</v>
      </c>
      <c r="E41" s="21" t="s">
        <v>224</v>
      </c>
      <c r="F41" s="23" t="s">
        <v>229</v>
      </c>
      <c r="G41" s="22" t="s">
        <v>30</v>
      </c>
      <c r="H41" s="24" t="s">
        <v>1284</v>
      </c>
      <c r="I41" s="24" t="s">
        <v>954</v>
      </c>
      <c r="J41" s="25" t="s">
        <v>955</v>
      </c>
    </row>
    <row r="42" spans="1:10" s="20" customFormat="1" ht="310">
      <c r="A42" s="185"/>
      <c r="B42" s="37" t="s">
        <v>230</v>
      </c>
      <c r="C42" s="45">
        <v>1</v>
      </c>
      <c r="D42" s="46">
        <v>523</v>
      </c>
      <c r="E42" s="21" t="s">
        <v>224</v>
      </c>
      <c r="F42" s="23" t="s">
        <v>231</v>
      </c>
      <c r="G42" s="22" t="s">
        <v>282</v>
      </c>
      <c r="H42" s="22"/>
      <c r="I42" s="24" t="s">
        <v>960</v>
      </c>
      <c r="J42" s="25" t="s">
        <v>961</v>
      </c>
    </row>
    <row r="43" spans="1:10" s="20" customFormat="1" ht="279">
      <c r="A43" s="185"/>
      <c r="B43" s="37" t="s">
        <v>232</v>
      </c>
      <c r="C43" s="48">
        <v>2</v>
      </c>
      <c r="D43" s="46">
        <v>256</v>
      </c>
      <c r="E43" s="21" t="s">
        <v>224</v>
      </c>
      <c r="F43" s="23" t="s">
        <v>233</v>
      </c>
      <c r="G43" s="22" t="s">
        <v>282</v>
      </c>
      <c r="H43" s="22"/>
      <c r="I43" s="24" t="s">
        <v>962</v>
      </c>
      <c r="J43" s="25" t="s">
        <v>963</v>
      </c>
    </row>
    <row r="44" spans="1:10" s="20" customFormat="1" ht="294.5">
      <c r="A44" s="185"/>
      <c r="B44" s="37" t="s">
        <v>234</v>
      </c>
      <c r="C44" s="48">
        <v>2</v>
      </c>
      <c r="D44" s="46">
        <v>310</v>
      </c>
      <c r="E44" s="21" t="s">
        <v>224</v>
      </c>
      <c r="F44" s="23" t="s">
        <v>235</v>
      </c>
      <c r="G44" s="167" t="s">
        <v>282</v>
      </c>
      <c r="H44" s="22"/>
      <c r="I44" s="24" t="s">
        <v>964</v>
      </c>
      <c r="J44" s="25" t="s">
        <v>965</v>
      </c>
    </row>
    <row r="45" spans="1:10" s="20" customFormat="1" ht="32.25" customHeight="1">
      <c r="A45" s="185" t="s">
        <v>236</v>
      </c>
      <c r="B45" s="37" t="s">
        <v>237</v>
      </c>
      <c r="C45" s="45">
        <v>1</v>
      </c>
      <c r="D45" s="46">
        <v>613</v>
      </c>
      <c r="E45" s="21" t="s">
        <v>238</v>
      </c>
      <c r="F45" s="23" t="s">
        <v>239</v>
      </c>
      <c r="G45" s="22" t="s">
        <v>60</v>
      </c>
      <c r="H45" s="22"/>
      <c r="I45" s="24" t="s">
        <v>966</v>
      </c>
      <c r="J45" s="25" t="s">
        <v>967</v>
      </c>
    </row>
    <row r="46" spans="1:10" s="20" customFormat="1" ht="279">
      <c r="A46" s="185"/>
      <c r="B46" s="37" t="s">
        <v>240</v>
      </c>
      <c r="C46" s="48">
        <v>2</v>
      </c>
      <c r="D46" s="46">
        <v>320</v>
      </c>
      <c r="E46" s="21" t="s">
        <v>238</v>
      </c>
      <c r="F46" s="23" t="s">
        <v>241</v>
      </c>
      <c r="G46" s="22" t="s">
        <v>282</v>
      </c>
      <c r="H46" s="22"/>
      <c r="I46" s="24" t="s">
        <v>968</v>
      </c>
      <c r="J46" s="25" t="s">
        <v>969</v>
      </c>
    </row>
    <row r="47" spans="1:10" s="20" customFormat="1" ht="310">
      <c r="A47" s="185"/>
      <c r="B47" s="37" t="s">
        <v>242</v>
      </c>
      <c r="C47" s="48">
        <v>2</v>
      </c>
      <c r="D47" s="46">
        <v>326</v>
      </c>
      <c r="E47" s="21" t="s">
        <v>238</v>
      </c>
      <c r="F47" s="23" t="s">
        <v>243</v>
      </c>
      <c r="G47" s="22" t="s">
        <v>282</v>
      </c>
      <c r="H47" s="22"/>
      <c r="I47" s="24" t="s">
        <v>970</v>
      </c>
      <c r="J47" s="25" t="s">
        <v>971</v>
      </c>
    </row>
    <row r="48" spans="1:10" s="20" customFormat="1" ht="263.5">
      <c r="A48" s="185"/>
      <c r="B48" s="37" t="s">
        <v>244</v>
      </c>
      <c r="C48" s="48">
        <v>2</v>
      </c>
      <c r="D48" s="46">
        <v>287</v>
      </c>
      <c r="E48" s="21" t="s">
        <v>238</v>
      </c>
      <c r="F48" s="23" t="s">
        <v>245</v>
      </c>
      <c r="G48" s="22" t="s">
        <v>282</v>
      </c>
      <c r="H48" s="22"/>
      <c r="I48" s="24" t="s">
        <v>972</v>
      </c>
      <c r="J48" s="25" t="s">
        <v>973</v>
      </c>
    </row>
    <row r="49" spans="1:10" s="20" customFormat="1" ht="294.5">
      <c r="A49" s="185"/>
      <c r="B49" s="37" t="s">
        <v>246</v>
      </c>
      <c r="C49" s="48">
        <v>2</v>
      </c>
      <c r="D49" s="46">
        <v>287</v>
      </c>
      <c r="E49" s="21" t="s">
        <v>247</v>
      </c>
      <c r="F49" s="23" t="s">
        <v>248</v>
      </c>
      <c r="G49" s="167" t="s">
        <v>282</v>
      </c>
      <c r="H49" s="22" t="s">
        <v>1285</v>
      </c>
      <c r="I49" s="24" t="s">
        <v>974</v>
      </c>
      <c r="J49" s="25" t="s">
        <v>976</v>
      </c>
    </row>
    <row r="50" spans="1:10" s="20" customFormat="1" ht="263.5">
      <c r="A50" s="185"/>
      <c r="B50" s="37" t="s">
        <v>249</v>
      </c>
      <c r="C50" s="48">
        <v>2</v>
      </c>
      <c r="D50" s="46">
        <v>613</v>
      </c>
      <c r="E50" s="21" t="s">
        <v>250</v>
      </c>
      <c r="F50" s="23" t="s">
        <v>251</v>
      </c>
      <c r="G50" s="22" t="s">
        <v>282</v>
      </c>
      <c r="H50" s="22"/>
      <c r="I50" s="24" t="s">
        <v>977</v>
      </c>
      <c r="J50" s="25" t="s">
        <v>978</v>
      </c>
    </row>
    <row r="51" spans="1:10" s="20" customFormat="1" ht="294.5">
      <c r="A51" s="185"/>
      <c r="B51" s="37" t="s">
        <v>252</v>
      </c>
      <c r="C51" s="47">
        <v>3</v>
      </c>
      <c r="D51" s="46">
        <v>308</v>
      </c>
      <c r="E51" s="21" t="s">
        <v>253</v>
      </c>
      <c r="F51" s="23" t="s">
        <v>254</v>
      </c>
      <c r="G51" s="22" t="s">
        <v>282</v>
      </c>
      <c r="H51" s="22"/>
      <c r="I51" s="24" t="s">
        <v>981</v>
      </c>
      <c r="J51" s="25" t="s">
        <v>982</v>
      </c>
    </row>
    <row r="52" spans="1:10" s="20" customFormat="1" ht="63.75" customHeight="1">
      <c r="A52" s="185" t="s">
        <v>255</v>
      </c>
      <c r="B52" s="37" t="s">
        <v>256</v>
      </c>
      <c r="C52" s="48">
        <v>2</v>
      </c>
      <c r="D52" s="46">
        <v>320</v>
      </c>
      <c r="E52" s="21" t="s">
        <v>257</v>
      </c>
      <c r="F52" s="23" t="s">
        <v>258</v>
      </c>
      <c r="G52" s="22" t="s">
        <v>282</v>
      </c>
      <c r="H52" s="22"/>
      <c r="I52" s="24" t="s">
        <v>983</v>
      </c>
      <c r="J52" s="25" t="s">
        <v>985</v>
      </c>
    </row>
    <row r="53" spans="1:10" s="20" customFormat="1" ht="294.5">
      <c r="A53" s="185"/>
      <c r="B53" s="37" t="s">
        <v>259</v>
      </c>
      <c r="C53" s="48">
        <v>2</v>
      </c>
      <c r="D53" s="46">
        <v>330</v>
      </c>
      <c r="E53" s="21" t="s">
        <v>257</v>
      </c>
      <c r="F53" s="23" t="s">
        <v>260</v>
      </c>
      <c r="G53" s="167" t="s">
        <v>60</v>
      </c>
      <c r="H53" s="22"/>
      <c r="I53" s="24" t="s">
        <v>986</v>
      </c>
      <c r="J53" s="25" t="s">
        <v>987</v>
      </c>
    </row>
    <row r="54" spans="1:10" s="20" customFormat="1" ht="341">
      <c r="A54" s="185"/>
      <c r="B54" s="37" t="s">
        <v>261</v>
      </c>
      <c r="C54" s="48">
        <v>2</v>
      </c>
      <c r="D54" s="46">
        <v>327</v>
      </c>
      <c r="E54" s="21" t="s">
        <v>257</v>
      </c>
      <c r="F54" s="23" t="s">
        <v>262</v>
      </c>
      <c r="G54" s="22" t="s">
        <v>282</v>
      </c>
      <c r="H54" s="22"/>
      <c r="I54" s="24" t="s">
        <v>989</v>
      </c>
      <c r="J54" s="25" t="s">
        <v>990</v>
      </c>
    </row>
    <row r="55" spans="1:10" s="20" customFormat="1" ht="79.5" customHeight="1">
      <c r="A55" s="185" t="s">
        <v>263</v>
      </c>
      <c r="B55" s="37" t="s">
        <v>264</v>
      </c>
      <c r="C55" s="48" t="s">
        <v>265</v>
      </c>
      <c r="D55" s="46">
        <v>287</v>
      </c>
      <c r="E55" s="21" t="s">
        <v>266</v>
      </c>
      <c r="F55" s="23" t="s">
        <v>267</v>
      </c>
      <c r="G55" s="22" t="s">
        <v>282</v>
      </c>
      <c r="H55" s="22"/>
      <c r="I55" s="24" t="s">
        <v>991</v>
      </c>
      <c r="J55" s="25" t="s">
        <v>992</v>
      </c>
    </row>
    <row r="56" spans="1:10" s="20" customFormat="1" ht="279">
      <c r="A56" s="185"/>
      <c r="B56" s="37" t="s">
        <v>268</v>
      </c>
      <c r="C56" s="48" t="s">
        <v>265</v>
      </c>
      <c r="D56" s="46">
        <v>255</v>
      </c>
      <c r="E56" s="21" t="s">
        <v>266</v>
      </c>
      <c r="F56" s="23" t="s">
        <v>269</v>
      </c>
      <c r="G56" s="22" t="s">
        <v>30</v>
      </c>
      <c r="H56" s="22"/>
      <c r="I56" s="24" t="s">
        <v>993</v>
      </c>
      <c r="J56" s="25" t="s">
        <v>994</v>
      </c>
    </row>
    <row r="57" spans="1:10" s="20" customFormat="1" ht="294.5">
      <c r="A57" s="185"/>
      <c r="B57" s="37" t="s">
        <v>270</v>
      </c>
      <c r="C57" s="48" t="s">
        <v>265</v>
      </c>
      <c r="D57" s="46">
        <v>522</v>
      </c>
      <c r="E57" s="21" t="s">
        <v>266</v>
      </c>
      <c r="F57" s="23" t="s">
        <v>271</v>
      </c>
      <c r="G57" s="167" t="s">
        <v>30</v>
      </c>
      <c r="H57" s="22" t="s">
        <v>1286</v>
      </c>
      <c r="I57" s="24" t="s">
        <v>995</v>
      </c>
      <c r="J57" s="25" t="s">
        <v>996</v>
      </c>
    </row>
    <row r="58" spans="1:10" s="20" customFormat="1" ht="310">
      <c r="A58" s="185"/>
      <c r="B58" s="37" t="s">
        <v>272</v>
      </c>
      <c r="C58" s="49" t="s">
        <v>265</v>
      </c>
      <c r="D58" s="50">
        <v>798</v>
      </c>
      <c r="E58" s="27"/>
      <c r="F58" s="29" t="s">
        <v>273</v>
      </c>
      <c r="G58" s="28" t="s">
        <v>282</v>
      </c>
      <c r="H58" s="28"/>
      <c r="I58" s="78" t="s">
        <v>997</v>
      </c>
      <c r="J58" s="79" t="s">
        <v>998</v>
      </c>
    </row>
  </sheetData>
  <mergeCells count="10">
    <mergeCell ref="A2:A13"/>
    <mergeCell ref="A14:A20"/>
    <mergeCell ref="A21:A23"/>
    <mergeCell ref="A24:A28"/>
    <mergeCell ref="A29:A35"/>
    <mergeCell ref="A36:A38"/>
    <mergeCell ref="A39:A44"/>
    <mergeCell ref="A45:A51"/>
    <mergeCell ref="A52:A54"/>
    <mergeCell ref="A55:A58"/>
  </mergeCells>
  <dataValidations count="1">
    <dataValidation type="list" operator="equal" showErrorMessage="1" sqref="G2:G58" xr:uid="{00000000-0002-0000-0200-000000000000}">
      <formula1>"Valid,Non-valid,Not Applicable"</formula1>
      <formula2>0</formula2>
    </dataValidation>
  </dataValidations>
  <pageMargins left="0.78749999999999998" right="0.78749999999999998" top="1.0249999999999999" bottom="1.0249999999999999" header="0.78749999999999998" footer="0.78749999999999998"/>
  <pageSetup firstPageNumber="0" orientation="portrait" horizontalDpi="300" verticalDpi="300" r:id="rId1"/>
  <headerFooter>
    <oddHeader>&amp;C&amp;A</oddHeader>
    <oddFooter>&amp;CPage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J24"/>
  <sheetViews>
    <sheetView topLeftCell="A14" zoomScale="82" zoomScaleNormal="85" workbookViewId="0">
      <selection activeCell="G8" sqref="G8"/>
    </sheetView>
  </sheetViews>
  <sheetFormatPr defaultColWidth="8.81640625" defaultRowHeight="21"/>
  <cols>
    <col min="1" max="1" width="40.81640625" style="51" customWidth="1"/>
    <col min="2" max="2" width="10.81640625" style="20" customWidth="1"/>
    <col min="3" max="3" width="11.81640625" style="52" customWidth="1"/>
    <col min="4" max="5" width="8.81640625" style="52"/>
    <col min="6" max="6" width="70" style="20" customWidth="1"/>
    <col min="7" max="7" width="20.54296875" style="20" customWidth="1"/>
    <col min="8" max="8" width="36.1796875" style="20" customWidth="1"/>
    <col min="9" max="9" width="35.7265625" style="20" customWidth="1"/>
    <col min="10" max="10" width="42.81640625" style="20" customWidth="1"/>
    <col min="11" max="1024" width="8.81640625" style="20"/>
  </cols>
  <sheetData>
    <row r="1" spans="1:10" s="36" customFormat="1" ht="42">
      <c r="A1" s="53" t="s">
        <v>24</v>
      </c>
      <c r="B1" s="54" t="s">
        <v>25</v>
      </c>
      <c r="C1" s="53" t="s">
        <v>26</v>
      </c>
      <c r="D1" s="53" t="s">
        <v>27</v>
      </c>
      <c r="E1" s="53" t="s">
        <v>28</v>
      </c>
      <c r="F1" s="54" t="s">
        <v>29</v>
      </c>
      <c r="G1" s="54" t="s">
        <v>30</v>
      </c>
      <c r="H1" s="54" t="s">
        <v>31</v>
      </c>
      <c r="I1" s="54" t="s">
        <v>32</v>
      </c>
      <c r="J1" s="54" t="s">
        <v>33</v>
      </c>
    </row>
    <row r="2" spans="1:10" ht="77.5">
      <c r="A2" s="1" t="s">
        <v>274</v>
      </c>
      <c r="B2" s="55" t="s">
        <v>275</v>
      </c>
      <c r="C2" s="56">
        <v>1</v>
      </c>
      <c r="D2" s="39">
        <v>598</v>
      </c>
      <c r="E2" s="57"/>
      <c r="F2" s="41" t="s">
        <v>276</v>
      </c>
      <c r="G2" s="42" t="s">
        <v>30</v>
      </c>
      <c r="H2" s="43" t="s">
        <v>1121</v>
      </c>
      <c r="I2" s="43" t="s">
        <v>1114</v>
      </c>
      <c r="J2" s="44" t="s">
        <v>1115</v>
      </c>
    </row>
    <row r="3" spans="1:10" ht="63.75" customHeight="1">
      <c r="A3" s="185" t="s">
        <v>277</v>
      </c>
      <c r="B3" s="55" t="s">
        <v>278</v>
      </c>
      <c r="C3" s="58">
        <v>1</v>
      </c>
      <c r="D3" s="46">
        <v>384</v>
      </c>
      <c r="E3" s="59">
        <v>7.1</v>
      </c>
      <c r="F3" s="23" t="s">
        <v>279</v>
      </c>
      <c r="G3" s="22" t="s">
        <v>30</v>
      </c>
      <c r="H3" s="24" t="s">
        <v>1116</v>
      </c>
      <c r="I3" s="24" t="s">
        <v>1117</v>
      </c>
      <c r="J3" s="25" t="s">
        <v>999</v>
      </c>
    </row>
    <row r="4" spans="1:10" ht="77.5">
      <c r="A4" s="185"/>
      <c r="B4" s="55" t="s">
        <v>280</v>
      </c>
      <c r="C4" s="58">
        <v>1</v>
      </c>
      <c r="D4" s="46">
        <v>331</v>
      </c>
      <c r="E4" s="59">
        <v>7.1</v>
      </c>
      <c r="F4" s="23" t="s">
        <v>281</v>
      </c>
      <c r="G4" s="22" t="s">
        <v>30</v>
      </c>
      <c r="H4" s="24" t="s">
        <v>1118</v>
      </c>
      <c r="I4" s="24" t="s">
        <v>1119</v>
      </c>
      <c r="J4" s="25" t="s">
        <v>999</v>
      </c>
    </row>
    <row r="5" spans="1:10" ht="93">
      <c r="A5" s="185"/>
      <c r="B5" s="55" t="s">
        <v>283</v>
      </c>
      <c r="C5" s="58">
        <v>1</v>
      </c>
      <c r="D5" s="46">
        <v>539</v>
      </c>
      <c r="E5" s="59">
        <v>7.1</v>
      </c>
      <c r="F5" s="23" t="s">
        <v>284</v>
      </c>
      <c r="G5" s="22" t="s">
        <v>30</v>
      </c>
      <c r="H5" s="24" t="s">
        <v>1120</v>
      </c>
      <c r="I5" s="24" t="s">
        <v>1122</v>
      </c>
      <c r="J5" s="25" t="s">
        <v>1123</v>
      </c>
    </row>
    <row r="6" spans="1:10" ht="77.5">
      <c r="A6" s="185"/>
      <c r="B6" s="55" t="s">
        <v>285</v>
      </c>
      <c r="C6" s="60">
        <v>2</v>
      </c>
      <c r="D6" s="46">
        <v>331</v>
      </c>
      <c r="E6" s="59">
        <v>7.1</v>
      </c>
      <c r="F6" s="23" t="s">
        <v>286</v>
      </c>
      <c r="G6" s="22" t="s">
        <v>30</v>
      </c>
      <c r="H6" s="24" t="s">
        <v>1124</v>
      </c>
      <c r="I6" s="24" t="s">
        <v>1125</v>
      </c>
      <c r="J6" s="25" t="s">
        <v>1126</v>
      </c>
    </row>
    <row r="7" spans="1:10" ht="79.5" customHeight="1">
      <c r="A7" s="185" t="s">
        <v>287</v>
      </c>
      <c r="B7" s="55" t="s">
        <v>288</v>
      </c>
      <c r="C7" s="58">
        <v>1</v>
      </c>
      <c r="D7" s="46">
        <v>613</v>
      </c>
      <c r="E7" s="59">
        <v>7.1</v>
      </c>
      <c r="F7" s="23" t="s">
        <v>289</v>
      </c>
      <c r="G7" s="167" t="s">
        <v>30</v>
      </c>
      <c r="H7" s="24" t="s">
        <v>1127</v>
      </c>
      <c r="I7" s="24" t="s">
        <v>1128</v>
      </c>
      <c r="J7" s="25" t="s">
        <v>999</v>
      </c>
    </row>
    <row r="8" spans="1:10" ht="108.5">
      <c r="A8" s="185"/>
      <c r="B8" s="55" t="s">
        <v>290</v>
      </c>
      <c r="C8" s="58">
        <v>1</v>
      </c>
      <c r="D8" s="46">
        <v>613</v>
      </c>
      <c r="E8" s="59">
        <v>7.2</v>
      </c>
      <c r="F8" s="23" t="s">
        <v>291</v>
      </c>
      <c r="G8" s="167" t="s">
        <v>30</v>
      </c>
      <c r="H8" s="24" t="s">
        <v>1129</v>
      </c>
      <c r="I8" s="24" t="s">
        <v>1130</v>
      </c>
      <c r="J8" s="25" t="s">
        <v>999</v>
      </c>
    </row>
    <row r="9" spans="1:10" ht="124">
      <c r="A9" s="185"/>
      <c r="B9" s="55" t="s">
        <v>292</v>
      </c>
      <c r="C9" s="60">
        <v>2</v>
      </c>
      <c r="D9" s="46">
        <v>613</v>
      </c>
      <c r="E9" s="59"/>
      <c r="F9" s="23" t="s">
        <v>293</v>
      </c>
      <c r="G9" s="22" t="s">
        <v>282</v>
      </c>
      <c r="H9" s="24" t="s">
        <v>294</v>
      </c>
      <c r="I9" s="24" t="s">
        <v>295</v>
      </c>
      <c r="J9" s="25" t="s">
        <v>296</v>
      </c>
    </row>
    <row r="10" spans="1:10" ht="155">
      <c r="A10" s="185"/>
      <c r="B10" s="55" t="s">
        <v>297</v>
      </c>
      <c r="C10" s="60">
        <v>2</v>
      </c>
      <c r="D10" s="46">
        <v>613</v>
      </c>
      <c r="E10" s="59">
        <v>7.1</v>
      </c>
      <c r="F10" s="23" t="s">
        <v>298</v>
      </c>
      <c r="G10" s="22" t="s">
        <v>282</v>
      </c>
      <c r="H10" s="24" t="s">
        <v>299</v>
      </c>
      <c r="I10" s="24" t="s">
        <v>300</v>
      </c>
      <c r="J10" s="25" t="s">
        <v>301</v>
      </c>
    </row>
    <row r="11" spans="1:10" ht="48" customHeight="1">
      <c r="A11" s="185" t="s">
        <v>302</v>
      </c>
      <c r="B11" s="55" t="s">
        <v>303</v>
      </c>
      <c r="C11" s="58">
        <v>1</v>
      </c>
      <c r="D11" s="46">
        <v>614</v>
      </c>
      <c r="E11" s="59" t="s">
        <v>304</v>
      </c>
      <c r="F11" s="23" t="s">
        <v>305</v>
      </c>
      <c r="G11" s="22" t="s">
        <v>30</v>
      </c>
      <c r="H11" s="24" t="s">
        <v>1132</v>
      </c>
      <c r="I11" s="24" t="s">
        <v>1131</v>
      </c>
      <c r="J11" s="25" t="s">
        <v>999</v>
      </c>
    </row>
    <row r="12" spans="1:10" ht="31">
      <c r="A12" s="185"/>
      <c r="B12" s="55" t="s">
        <v>306</v>
      </c>
      <c r="C12" s="58">
        <v>1</v>
      </c>
      <c r="D12" s="46">
        <v>1004</v>
      </c>
      <c r="E12" s="59" t="s">
        <v>304</v>
      </c>
      <c r="F12" s="23" t="s">
        <v>307</v>
      </c>
      <c r="G12" s="22" t="s">
        <v>30</v>
      </c>
      <c r="H12" s="77" t="s">
        <v>1133</v>
      </c>
      <c r="I12" s="24" t="s">
        <v>1134</v>
      </c>
      <c r="J12" s="25" t="s">
        <v>999</v>
      </c>
    </row>
    <row r="13" spans="1:10" ht="46.5">
      <c r="A13" s="185"/>
      <c r="B13" s="55" t="s">
        <v>308</v>
      </c>
      <c r="C13" s="58">
        <v>1</v>
      </c>
      <c r="D13" s="46">
        <v>16</v>
      </c>
      <c r="E13" s="59" t="s">
        <v>304</v>
      </c>
      <c r="F13" s="23" t="s">
        <v>309</v>
      </c>
      <c r="G13" s="22" t="s">
        <v>30</v>
      </c>
      <c r="H13" s="24" t="s">
        <v>1135</v>
      </c>
      <c r="I13" s="24" t="s">
        <v>1136</v>
      </c>
      <c r="J13" s="25" t="s">
        <v>999</v>
      </c>
    </row>
    <row r="14" spans="1:10" ht="201.5">
      <c r="A14" s="185"/>
      <c r="B14" s="55" t="s">
        <v>311</v>
      </c>
      <c r="C14" s="58">
        <v>1</v>
      </c>
      <c r="D14" s="46">
        <v>16</v>
      </c>
      <c r="E14" s="59" t="s">
        <v>304</v>
      </c>
      <c r="F14" s="23" t="s">
        <v>312</v>
      </c>
      <c r="G14" s="22" t="s">
        <v>282</v>
      </c>
      <c r="H14" s="24" t="s">
        <v>313</v>
      </c>
      <c r="I14" s="24" t="s">
        <v>314</v>
      </c>
      <c r="J14" s="25" t="s">
        <v>315</v>
      </c>
    </row>
    <row r="15" spans="1:10" ht="155">
      <c r="A15" s="185"/>
      <c r="B15" s="55" t="s">
        <v>316</v>
      </c>
      <c r="C15" s="58">
        <v>1</v>
      </c>
      <c r="D15" s="46">
        <v>16</v>
      </c>
      <c r="E15" s="59" t="s">
        <v>304</v>
      </c>
      <c r="F15" s="23" t="s">
        <v>317</v>
      </c>
      <c r="G15" s="22" t="s">
        <v>282</v>
      </c>
      <c r="H15" s="24" t="s">
        <v>310</v>
      </c>
      <c r="I15" s="24" t="s">
        <v>318</v>
      </c>
      <c r="J15" s="25" t="s">
        <v>319</v>
      </c>
    </row>
    <row r="16" spans="1:10" ht="32.25" customHeight="1">
      <c r="A16" s="185" t="s">
        <v>320</v>
      </c>
      <c r="B16" s="55" t="s">
        <v>321</v>
      </c>
      <c r="C16" s="60">
        <v>2</v>
      </c>
      <c r="D16" s="46">
        <v>290</v>
      </c>
      <c r="E16" s="59" t="s">
        <v>322</v>
      </c>
      <c r="F16" s="23" t="s">
        <v>323</v>
      </c>
      <c r="G16" s="22" t="s">
        <v>60</v>
      </c>
      <c r="H16" s="24" t="s">
        <v>324</v>
      </c>
      <c r="I16" s="24" t="s">
        <v>325</v>
      </c>
      <c r="J16" s="25" t="s">
        <v>326</v>
      </c>
    </row>
    <row r="17" spans="1:10" ht="108.5">
      <c r="A17" s="185"/>
      <c r="B17" s="55" t="s">
        <v>327</v>
      </c>
      <c r="C17" s="60">
        <v>2</v>
      </c>
      <c r="D17" s="46">
        <v>798</v>
      </c>
      <c r="E17" s="59"/>
      <c r="F17" s="23" t="s">
        <v>328</v>
      </c>
      <c r="G17" s="22" t="s">
        <v>30</v>
      </c>
      <c r="H17" s="24" t="s">
        <v>1140</v>
      </c>
      <c r="I17" s="24" t="s">
        <v>1141</v>
      </c>
      <c r="J17" s="25" t="s">
        <v>999</v>
      </c>
    </row>
    <row r="18" spans="1:10" ht="155">
      <c r="A18" s="185"/>
      <c r="B18" s="55" t="s">
        <v>329</v>
      </c>
      <c r="C18" s="60">
        <v>2</v>
      </c>
      <c r="D18" s="46">
        <v>345</v>
      </c>
      <c r="E18" s="59"/>
      <c r="F18" s="23" t="s">
        <v>330</v>
      </c>
      <c r="G18" s="22" t="s">
        <v>30</v>
      </c>
      <c r="H18" s="24" t="s">
        <v>1137</v>
      </c>
      <c r="I18" s="24" t="s">
        <v>1138</v>
      </c>
      <c r="J18" s="25" t="s">
        <v>1139</v>
      </c>
    </row>
    <row r="19" spans="1:10" ht="63.75" customHeight="1">
      <c r="A19" s="185" t="s">
        <v>331</v>
      </c>
      <c r="B19" s="55" t="s">
        <v>332</v>
      </c>
      <c r="C19" s="61">
        <v>3</v>
      </c>
      <c r="D19" s="46">
        <v>613</v>
      </c>
      <c r="E19" s="59" t="s">
        <v>333</v>
      </c>
      <c r="F19" s="23" t="s">
        <v>334</v>
      </c>
      <c r="G19" s="176" t="s">
        <v>60</v>
      </c>
      <c r="H19" s="24" t="s">
        <v>335</v>
      </c>
      <c r="I19" s="24" t="s">
        <v>336</v>
      </c>
      <c r="J19" s="25" t="s">
        <v>337</v>
      </c>
    </row>
    <row r="20" spans="1:10" ht="139.5">
      <c r="A20" s="185"/>
      <c r="B20" s="55" t="s">
        <v>338</v>
      </c>
      <c r="C20" s="61">
        <v>3</v>
      </c>
      <c r="D20" s="46">
        <v>613</v>
      </c>
      <c r="E20" s="59" t="s">
        <v>333</v>
      </c>
      <c r="F20" s="23" t="s">
        <v>339</v>
      </c>
      <c r="G20" s="22" t="s">
        <v>60</v>
      </c>
      <c r="H20" s="22" t="s">
        <v>282</v>
      </c>
      <c r="I20" s="24" t="s">
        <v>340</v>
      </c>
      <c r="J20" s="25" t="s">
        <v>341</v>
      </c>
    </row>
    <row r="21" spans="1:10" ht="139.5">
      <c r="A21" s="1" t="s">
        <v>342</v>
      </c>
      <c r="B21" s="55" t="s">
        <v>343</v>
      </c>
      <c r="C21" s="62">
        <v>1</v>
      </c>
      <c r="D21" s="50">
        <v>778</v>
      </c>
      <c r="E21" s="63"/>
      <c r="F21" s="29" t="s">
        <v>344</v>
      </c>
      <c r="G21" s="175" t="s">
        <v>30</v>
      </c>
      <c r="H21" s="78" t="s">
        <v>1143</v>
      </c>
      <c r="I21" s="78" t="s">
        <v>1142</v>
      </c>
      <c r="J21" s="79" t="s">
        <v>999</v>
      </c>
    </row>
    <row r="22" spans="1:10" s="20" customFormat="1">
      <c r="A22" s="51"/>
    </row>
    <row r="23" spans="1:10" s="20" customFormat="1">
      <c r="A23" s="51"/>
    </row>
    <row r="24" spans="1:10" s="20" customFormat="1">
      <c r="A24" s="51"/>
    </row>
  </sheetData>
  <mergeCells count="5">
    <mergeCell ref="A3:A6"/>
    <mergeCell ref="A7:A10"/>
    <mergeCell ref="A11:A15"/>
    <mergeCell ref="A16:A18"/>
    <mergeCell ref="A19:A20"/>
  </mergeCells>
  <dataValidations count="1">
    <dataValidation type="list" operator="equal" showErrorMessage="1" sqref="G2:G21 H20" xr:uid="{00000000-0002-0000-0300-000000000000}">
      <formula1>"Valid,Non-valid,Not Applicable"</formula1>
      <formula2>0</formula2>
    </dataValidation>
  </dataValidations>
  <pageMargins left="0.78749999999999998" right="0.78749999999999998" top="1.0249999999999999" bottom="1.0249999999999999" header="0.78749999999999998" footer="0.78749999999999998"/>
  <pageSetup firstPageNumber="0" orientation="portrait" horizontalDpi="300" verticalDpi="300"/>
  <headerFooter>
    <oddHeader>&amp;C&amp;A</oddHeader>
    <oddFooter>&amp;CPage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MJ11"/>
  <sheetViews>
    <sheetView zoomScale="21" zoomScaleNormal="55" workbookViewId="0">
      <selection activeCell="F3" sqref="F3"/>
    </sheetView>
  </sheetViews>
  <sheetFormatPr defaultColWidth="8.81640625" defaultRowHeight="21"/>
  <cols>
    <col min="1" max="1" width="38.453125" style="64" customWidth="1"/>
    <col min="2" max="2" width="12.26953125" style="65" customWidth="1"/>
    <col min="3" max="3" width="12.453125" style="52" customWidth="1"/>
    <col min="4" max="5" width="8.81640625" style="52"/>
    <col min="6" max="6" width="68.7265625" style="20" customWidth="1"/>
    <col min="7" max="7" width="18.1796875" style="20" customWidth="1"/>
    <col min="8" max="8" width="32.7265625" style="20" customWidth="1"/>
    <col min="9" max="9" width="27.26953125" style="20" customWidth="1"/>
    <col min="10" max="10" width="42.1796875" style="20" customWidth="1"/>
    <col min="11" max="1024" width="8.81640625" style="20"/>
  </cols>
  <sheetData>
    <row r="1" spans="1:10" s="68" customFormat="1" ht="37">
      <c r="A1" s="33" t="s">
        <v>24</v>
      </c>
      <c r="B1" s="66" t="s">
        <v>25</v>
      </c>
      <c r="C1" s="67" t="s">
        <v>26</v>
      </c>
      <c r="D1" s="67" t="s">
        <v>27</v>
      </c>
      <c r="E1" s="67" t="s">
        <v>28</v>
      </c>
      <c r="F1" s="66" t="s">
        <v>29</v>
      </c>
      <c r="G1" s="66" t="s">
        <v>30</v>
      </c>
      <c r="H1" s="66" t="s">
        <v>31</v>
      </c>
      <c r="I1" s="66" t="s">
        <v>32</v>
      </c>
      <c r="J1" s="66" t="s">
        <v>33</v>
      </c>
    </row>
    <row r="2" spans="1:10" ht="409.5">
      <c r="A2" s="185" t="s">
        <v>345</v>
      </c>
      <c r="B2" s="69" t="s">
        <v>346</v>
      </c>
      <c r="C2" s="56">
        <v>1</v>
      </c>
      <c r="D2" s="39">
        <v>602</v>
      </c>
      <c r="E2" s="42"/>
      <c r="F2" s="41" t="s">
        <v>347</v>
      </c>
      <c r="G2" s="42" t="s">
        <v>30</v>
      </c>
      <c r="H2" s="43" t="s">
        <v>1019</v>
      </c>
      <c r="I2" s="43" t="s">
        <v>1020</v>
      </c>
      <c r="J2" s="44" t="s">
        <v>999</v>
      </c>
    </row>
    <row r="3" spans="1:10" ht="263.5">
      <c r="A3" s="185"/>
      <c r="B3" s="69" t="s">
        <v>348</v>
      </c>
      <c r="C3" s="58">
        <v>1</v>
      </c>
      <c r="D3" s="46">
        <v>639</v>
      </c>
      <c r="E3" s="22"/>
      <c r="F3" s="23" t="s">
        <v>349</v>
      </c>
      <c r="G3" s="22" t="s">
        <v>30</v>
      </c>
      <c r="H3" s="24" t="s">
        <v>1026</v>
      </c>
      <c r="I3" s="24" t="s">
        <v>1025</v>
      </c>
      <c r="J3" s="25" t="s">
        <v>1027</v>
      </c>
    </row>
    <row r="4" spans="1:10" ht="409.5">
      <c r="A4" s="185"/>
      <c r="B4" s="69" t="s">
        <v>350</v>
      </c>
      <c r="C4" s="58">
        <v>1</v>
      </c>
      <c r="D4" s="46">
        <v>285</v>
      </c>
      <c r="E4" s="22"/>
      <c r="F4" s="23" t="s">
        <v>351</v>
      </c>
      <c r="G4" s="22" t="s">
        <v>30</v>
      </c>
      <c r="H4" s="24" t="s">
        <v>1029</v>
      </c>
      <c r="I4" s="24" t="s">
        <v>1028</v>
      </c>
      <c r="J4" s="25" t="s">
        <v>999</v>
      </c>
    </row>
    <row r="5" spans="1:10" ht="15.5">
      <c r="A5" s="185"/>
      <c r="B5" s="69" t="s">
        <v>352</v>
      </c>
      <c r="C5" s="58">
        <v>1</v>
      </c>
      <c r="D5" s="46">
        <v>276</v>
      </c>
      <c r="E5" s="22"/>
      <c r="F5" s="23" t="s">
        <v>67</v>
      </c>
      <c r="G5" s="22" t="s">
        <v>60</v>
      </c>
      <c r="H5" s="22"/>
      <c r="I5" s="22"/>
      <c r="J5" s="26"/>
    </row>
    <row r="6" spans="1:10" ht="279">
      <c r="A6" s="185"/>
      <c r="B6" s="69" t="s">
        <v>353</v>
      </c>
      <c r="C6" s="58">
        <v>1</v>
      </c>
      <c r="D6" s="46">
        <v>285</v>
      </c>
      <c r="E6" s="22"/>
      <c r="F6" s="23" t="s">
        <v>354</v>
      </c>
      <c r="G6" s="22" t="s">
        <v>30</v>
      </c>
      <c r="H6" s="24" t="s">
        <v>1034</v>
      </c>
      <c r="I6" s="24" t="s">
        <v>1031</v>
      </c>
      <c r="J6" s="25" t="s">
        <v>930</v>
      </c>
    </row>
    <row r="7" spans="1:10" ht="79.5" customHeight="1">
      <c r="A7" s="185" t="s">
        <v>355</v>
      </c>
      <c r="B7" s="69" t="s">
        <v>356</v>
      </c>
      <c r="C7" s="58">
        <v>1</v>
      </c>
      <c r="D7" s="46">
        <v>639</v>
      </c>
      <c r="E7" s="22"/>
      <c r="F7" s="23" t="s">
        <v>357</v>
      </c>
      <c r="G7" s="22" t="s">
        <v>30</v>
      </c>
      <c r="H7" s="24" t="s">
        <v>1039</v>
      </c>
      <c r="I7" s="24" t="s">
        <v>1036</v>
      </c>
      <c r="J7" s="25" t="s">
        <v>1037</v>
      </c>
    </row>
    <row r="8" spans="1:10" ht="409.5">
      <c r="A8" s="185"/>
      <c r="B8" s="69" t="s">
        <v>358</v>
      </c>
      <c r="C8" s="58">
        <v>1</v>
      </c>
      <c r="D8" s="46">
        <v>352</v>
      </c>
      <c r="E8" s="22"/>
      <c r="F8" s="23" t="s">
        <v>359</v>
      </c>
      <c r="G8" s="167" t="s">
        <v>30</v>
      </c>
      <c r="H8" s="24" t="s">
        <v>1045</v>
      </c>
      <c r="I8" s="24" t="s">
        <v>1046</v>
      </c>
      <c r="J8" s="25" t="s">
        <v>360</v>
      </c>
    </row>
    <row r="9" spans="1:10" ht="32.25" customHeight="1">
      <c r="A9" s="185" t="s">
        <v>361</v>
      </c>
      <c r="B9" s="69" t="s">
        <v>362</v>
      </c>
      <c r="C9" s="58">
        <v>1</v>
      </c>
      <c r="D9" s="46">
        <v>419</v>
      </c>
      <c r="E9" s="22"/>
      <c r="F9" s="23" t="s">
        <v>363</v>
      </c>
      <c r="G9" s="167" t="s">
        <v>30</v>
      </c>
      <c r="H9" s="24" t="s">
        <v>1281</v>
      </c>
      <c r="I9" s="24" t="s">
        <v>1282</v>
      </c>
      <c r="J9" s="25" t="s">
        <v>1283</v>
      </c>
    </row>
    <row r="10" spans="1:10" ht="77.5">
      <c r="A10" s="185"/>
      <c r="B10" s="69" t="s">
        <v>364</v>
      </c>
      <c r="C10" s="58">
        <v>1</v>
      </c>
      <c r="D10" s="46">
        <v>548</v>
      </c>
      <c r="E10" s="22"/>
      <c r="F10" s="23" t="s">
        <v>365</v>
      </c>
      <c r="G10" s="22" t="s">
        <v>30</v>
      </c>
      <c r="H10" s="24" t="s">
        <v>1104</v>
      </c>
      <c r="I10" s="24" t="s">
        <v>1105</v>
      </c>
      <c r="J10" s="25" t="s">
        <v>1103</v>
      </c>
    </row>
    <row r="11" spans="1:10" ht="356.5">
      <c r="A11" s="185"/>
      <c r="B11" s="69" t="s">
        <v>366</v>
      </c>
      <c r="C11" s="70">
        <v>2</v>
      </c>
      <c r="D11" s="50">
        <v>732</v>
      </c>
      <c r="E11" s="28"/>
      <c r="F11" s="29" t="s">
        <v>367</v>
      </c>
      <c r="G11" s="28" t="s">
        <v>282</v>
      </c>
      <c r="H11" s="78" t="s">
        <v>1108</v>
      </c>
      <c r="I11" s="78" t="s">
        <v>1106</v>
      </c>
      <c r="J11" s="79" t="s">
        <v>1107</v>
      </c>
    </row>
  </sheetData>
  <mergeCells count="3">
    <mergeCell ref="A2:A6"/>
    <mergeCell ref="A7:A8"/>
    <mergeCell ref="A9:A11"/>
  </mergeCells>
  <dataValidations count="1">
    <dataValidation type="list" operator="equal" showErrorMessage="1" sqref="G2:G11" xr:uid="{00000000-0002-0000-0400-000000000000}">
      <formula1>"Valid,Non-valid,Not Applicable"</formula1>
      <formula2>0</formula2>
    </dataValidation>
  </dataValidations>
  <pageMargins left="0.78749999999999998" right="0.78749999999999998" top="1.0249999999999999" bottom="1.0249999999999999" header="0.78749999999999998" footer="0.78749999999999998"/>
  <pageSetup firstPageNumber="0" orientation="portrait" horizontalDpi="300" verticalDpi="300"/>
  <headerFooter>
    <oddHeader>&amp;C&amp;A</oddHeader>
    <oddFooter>&amp;CPage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MJ31"/>
  <sheetViews>
    <sheetView topLeftCell="A17" zoomScale="45" zoomScaleNormal="85" workbookViewId="0">
      <selection activeCell="Z19" sqref="Z19"/>
    </sheetView>
  </sheetViews>
  <sheetFormatPr defaultColWidth="8.81640625" defaultRowHeight="21"/>
  <cols>
    <col min="1" max="1" width="53.453125" style="64" customWidth="1"/>
    <col min="2" max="2" width="11.54296875" style="20" customWidth="1"/>
    <col min="3" max="5" width="8.81640625" style="52"/>
    <col min="6" max="6" width="60.7265625" style="20" customWidth="1"/>
    <col min="7" max="7" width="22.7265625" style="20" customWidth="1"/>
    <col min="8" max="8" width="41.26953125" style="20" customWidth="1"/>
    <col min="9" max="9" width="35.26953125" style="20" customWidth="1"/>
    <col min="10" max="10" width="29" style="20" customWidth="1"/>
    <col min="11" max="1024" width="8.81640625" style="20"/>
  </cols>
  <sheetData>
    <row r="1" spans="1:10" s="36" customFormat="1" ht="42">
      <c r="A1" s="33" t="s">
        <v>24</v>
      </c>
      <c r="B1" s="54" t="s">
        <v>25</v>
      </c>
      <c r="C1" s="53" t="s">
        <v>26</v>
      </c>
      <c r="D1" s="53" t="s">
        <v>27</v>
      </c>
      <c r="E1" s="53" t="s">
        <v>28</v>
      </c>
      <c r="F1" s="54" t="s">
        <v>29</v>
      </c>
      <c r="G1" s="54" t="s">
        <v>30</v>
      </c>
      <c r="H1" s="54" t="s">
        <v>31</v>
      </c>
      <c r="I1" s="54" t="s">
        <v>32</v>
      </c>
      <c r="J1" s="54" t="s">
        <v>33</v>
      </c>
    </row>
    <row r="2" spans="1:10" ht="79.5" customHeight="1">
      <c r="A2" s="185" t="s">
        <v>368</v>
      </c>
      <c r="B2" s="55" t="s">
        <v>369</v>
      </c>
      <c r="C2" s="56">
        <v>1</v>
      </c>
      <c r="D2" s="39">
        <v>235</v>
      </c>
      <c r="E2" s="57"/>
      <c r="F2" s="71" t="s">
        <v>370</v>
      </c>
      <c r="G2" s="42" t="s">
        <v>30</v>
      </c>
      <c r="H2" s="43" t="s">
        <v>1262</v>
      </c>
      <c r="I2" s="43" t="s">
        <v>1263</v>
      </c>
      <c r="J2" s="44" t="s">
        <v>1264</v>
      </c>
    </row>
    <row r="3" spans="1:10" ht="93">
      <c r="A3" s="185"/>
      <c r="B3" s="55" t="s">
        <v>371</v>
      </c>
      <c r="C3" s="58">
        <v>1</v>
      </c>
      <c r="D3" s="46">
        <v>915</v>
      </c>
      <c r="E3" s="59"/>
      <c r="F3" s="72" t="s">
        <v>372</v>
      </c>
      <c r="G3" s="22" t="s">
        <v>30</v>
      </c>
      <c r="H3" s="24" t="s">
        <v>1265</v>
      </c>
      <c r="I3" s="24" t="s">
        <v>1266</v>
      </c>
      <c r="J3" s="25" t="s">
        <v>1267</v>
      </c>
    </row>
    <row r="4" spans="1:10" ht="77.5">
      <c r="A4" s="185"/>
      <c r="B4" s="55" t="s">
        <v>373</v>
      </c>
      <c r="C4" s="58">
        <v>1</v>
      </c>
      <c r="D4" s="46">
        <v>20</v>
      </c>
      <c r="E4" s="59"/>
      <c r="F4" s="72" t="s">
        <v>374</v>
      </c>
      <c r="G4" s="22" t="s">
        <v>282</v>
      </c>
      <c r="H4" s="24" t="s">
        <v>375</v>
      </c>
      <c r="I4" s="24" t="s">
        <v>376</v>
      </c>
      <c r="J4" s="25" t="s">
        <v>377</v>
      </c>
    </row>
    <row r="5" spans="1:10" ht="186">
      <c r="A5" s="185"/>
      <c r="B5" s="55" t="s">
        <v>378</v>
      </c>
      <c r="C5" s="58">
        <v>1</v>
      </c>
      <c r="D5" s="46">
        <v>20</v>
      </c>
      <c r="E5" s="59"/>
      <c r="F5" s="72" t="s">
        <v>379</v>
      </c>
      <c r="G5" s="22" t="s">
        <v>282</v>
      </c>
      <c r="H5" s="24" t="s">
        <v>380</v>
      </c>
      <c r="I5" s="24" t="s">
        <v>381</v>
      </c>
      <c r="J5" s="25" t="s">
        <v>382</v>
      </c>
    </row>
    <row r="6" spans="1:10" ht="108.5">
      <c r="A6" s="185"/>
      <c r="B6" s="55" t="s">
        <v>383</v>
      </c>
      <c r="C6" s="58">
        <v>1</v>
      </c>
      <c r="D6" s="46">
        <v>601</v>
      </c>
      <c r="E6" s="59"/>
      <c r="F6" s="72" t="s">
        <v>384</v>
      </c>
      <c r="G6" s="22" t="s">
        <v>282</v>
      </c>
      <c r="H6" s="24" t="s">
        <v>385</v>
      </c>
      <c r="I6" s="24" t="s">
        <v>386</v>
      </c>
      <c r="J6" s="25" t="s">
        <v>387</v>
      </c>
    </row>
    <row r="7" spans="1:10" ht="63.75" customHeight="1">
      <c r="A7" s="185" t="s">
        <v>388</v>
      </c>
      <c r="B7" s="55" t="s">
        <v>250</v>
      </c>
      <c r="C7" s="58">
        <v>1</v>
      </c>
      <c r="D7" s="46">
        <v>116</v>
      </c>
      <c r="E7" s="59"/>
      <c r="F7" s="72" t="s">
        <v>389</v>
      </c>
      <c r="G7" s="22" t="s">
        <v>282</v>
      </c>
      <c r="H7" s="24" t="s">
        <v>390</v>
      </c>
      <c r="I7" s="24" t="s">
        <v>391</v>
      </c>
      <c r="J7" s="26"/>
    </row>
    <row r="8" spans="1:10" ht="46.5">
      <c r="A8" s="185"/>
      <c r="B8" s="55" t="s">
        <v>392</v>
      </c>
      <c r="C8" s="58">
        <v>1</v>
      </c>
      <c r="D8" s="46">
        <v>138</v>
      </c>
      <c r="E8" s="59"/>
      <c r="F8" s="72" t="s">
        <v>393</v>
      </c>
      <c r="G8" s="22" t="s">
        <v>282</v>
      </c>
      <c r="H8" s="24" t="s">
        <v>394</v>
      </c>
      <c r="I8" s="24" t="s">
        <v>395</v>
      </c>
      <c r="J8" s="25" t="s">
        <v>396</v>
      </c>
    </row>
    <row r="9" spans="1:10" ht="46.5">
      <c r="A9" s="185"/>
      <c r="B9" s="55" t="s">
        <v>253</v>
      </c>
      <c r="C9" s="58">
        <v>1</v>
      </c>
      <c r="D9" s="46">
        <v>147</v>
      </c>
      <c r="E9" s="59"/>
      <c r="F9" s="72" t="s">
        <v>397</v>
      </c>
      <c r="G9" s="22" t="s">
        <v>282</v>
      </c>
      <c r="H9" s="24" t="s">
        <v>398</v>
      </c>
      <c r="I9" s="24" t="s">
        <v>399</v>
      </c>
      <c r="J9" s="25" t="s">
        <v>400</v>
      </c>
    </row>
    <row r="10" spans="1:10" ht="62">
      <c r="A10" s="185"/>
      <c r="B10" s="55" t="s">
        <v>401</v>
      </c>
      <c r="C10" s="58">
        <v>1</v>
      </c>
      <c r="D10" s="46">
        <v>95</v>
      </c>
      <c r="E10" s="59"/>
      <c r="F10" s="72" t="s">
        <v>402</v>
      </c>
      <c r="G10" s="22" t="s">
        <v>30</v>
      </c>
      <c r="H10" s="24" t="s">
        <v>403</v>
      </c>
      <c r="I10" s="22" t="s">
        <v>404</v>
      </c>
      <c r="J10" s="26"/>
    </row>
    <row r="11" spans="1:10" ht="124">
      <c r="A11" s="185"/>
      <c r="B11" s="55" t="s">
        <v>168</v>
      </c>
      <c r="C11" s="58">
        <v>1</v>
      </c>
      <c r="D11" s="46">
        <v>94</v>
      </c>
      <c r="E11" s="59"/>
      <c r="F11" s="72" t="s">
        <v>405</v>
      </c>
      <c r="G11" s="22" t="s">
        <v>30</v>
      </c>
      <c r="H11" s="24" t="s">
        <v>1271</v>
      </c>
      <c r="I11" s="24" t="s">
        <v>1272</v>
      </c>
      <c r="J11" s="25" t="s">
        <v>1273</v>
      </c>
    </row>
    <row r="12" spans="1:10" ht="62">
      <c r="A12" s="185"/>
      <c r="B12" s="55" t="s">
        <v>171</v>
      </c>
      <c r="C12" s="58">
        <v>1</v>
      </c>
      <c r="D12" s="46">
        <v>918</v>
      </c>
      <c r="E12" s="59"/>
      <c r="F12" s="72" t="s">
        <v>406</v>
      </c>
      <c r="G12" s="22" t="s">
        <v>282</v>
      </c>
      <c r="H12" s="24" t="s">
        <v>407</v>
      </c>
      <c r="I12" s="24" t="s">
        <v>408</v>
      </c>
      <c r="J12" s="26"/>
    </row>
    <row r="13" spans="1:10" ht="62">
      <c r="A13" s="185"/>
      <c r="B13" s="55" t="s">
        <v>409</v>
      </c>
      <c r="C13" s="58">
        <v>1</v>
      </c>
      <c r="D13" s="46">
        <v>159</v>
      </c>
      <c r="E13" s="59"/>
      <c r="F13" s="72" t="s">
        <v>410</v>
      </c>
      <c r="G13" s="22" t="s">
        <v>282</v>
      </c>
      <c r="H13" s="24" t="s">
        <v>411</v>
      </c>
      <c r="I13" s="24" t="s">
        <v>412</v>
      </c>
      <c r="J13" s="26"/>
    </row>
    <row r="14" spans="1:10" ht="46.5">
      <c r="A14" s="185"/>
      <c r="B14" s="55" t="s">
        <v>174</v>
      </c>
      <c r="C14" s="58">
        <v>1</v>
      </c>
      <c r="D14" s="46">
        <v>94</v>
      </c>
      <c r="E14" s="59"/>
      <c r="F14" s="72" t="s">
        <v>413</v>
      </c>
      <c r="G14" s="22" t="s">
        <v>282</v>
      </c>
      <c r="H14" s="24" t="s">
        <v>414</v>
      </c>
      <c r="I14" s="24" t="s">
        <v>415</v>
      </c>
      <c r="J14" s="26"/>
    </row>
    <row r="15" spans="1:10" ht="126.75" customHeight="1">
      <c r="A15" s="185" t="s">
        <v>416</v>
      </c>
      <c r="B15" s="55" t="s">
        <v>417</v>
      </c>
      <c r="C15" s="58">
        <v>1</v>
      </c>
      <c r="D15" s="46">
        <v>116</v>
      </c>
      <c r="E15" s="59"/>
      <c r="F15" s="72" t="s">
        <v>418</v>
      </c>
      <c r="G15" s="22" t="s">
        <v>30</v>
      </c>
      <c r="H15" s="24" t="s">
        <v>1274</v>
      </c>
      <c r="I15" s="24" t="s">
        <v>1275</v>
      </c>
      <c r="J15" s="172" t="s">
        <v>1276</v>
      </c>
    </row>
    <row r="16" spans="1:10" ht="93">
      <c r="A16" s="185"/>
      <c r="B16" s="55" t="s">
        <v>419</v>
      </c>
      <c r="C16" s="58">
        <v>1</v>
      </c>
      <c r="D16" s="46">
        <v>176</v>
      </c>
      <c r="E16" s="59"/>
      <c r="F16" s="72" t="s">
        <v>420</v>
      </c>
      <c r="G16" s="22" t="s">
        <v>30</v>
      </c>
      <c r="H16" s="24" t="s">
        <v>1277</v>
      </c>
      <c r="I16" s="24" t="s">
        <v>1278</v>
      </c>
      <c r="J16" s="26" t="s">
        <v>1279</v>
      </c>
    </row>
    <row r="17" spans="1:10" ht="77.5">
      <c r="A17" s="185"/>
      <c r="B17" s="55" t="s">
        <v>421</v>
      </c>
      <c r="C17" s="58">
        <v>1</v>
      </c>
      <c r="D17" s="46">
        <v>79</v>
      </c>
      <c r="E17" s="59"/>
      <c r="F17" s="72" t="s">
        <v>422</v>
      </c>
      <c r="G17" s="22" t="s">
        <v>30</v>
      </c>
      <c r="H17" s="24" t="s">
        <v>1274</v>
      </c>
      <c r="I17" s="24" t="s">
        <v>1280</v>
      </c>
      <c r="J17" s="26" t="s">
        <v>1276</v>
      </c>
    </row>
    <row r="18" spans="1:10" ht="155">
      <c r="A18" s="185"/>
      <c r="B18" s="55" t="s">
        <v>423</v>
      </c>
      <c r="C18" s="58">
        <v>1</v>
      </c>
      <c r="D18" s="46">
        <v>89</v>
      </c>
      <c r="E18" s="59"/>
      <c r="F18" s="72" t="s">
        <v>424</v>
      </c>
      <c r="G18" s="22" t="s">
        <v>30</v>
      </c>
      <c r="H18" s="24" t="s">
        <v>425</v>
      </c>
      <c r="I18" s="24" t="s">
        <v>426</v>
      </c>
      <c r="J18" s="25" t="s">
        <v>427</v>
      </c>
    </row>
    <row r="19" spans="1:10" ht="77.5">
      <c r="A19" s="185"/>
      <c r="B19" s="55" t="s">
        <v>428</v>
      </c>
      <c r="C19" s="58">
        <v>1</v>
      </c>
      <c r="D19" s="46">
        <v>89</v>
      </c>
      <c r="E19" s="59"/>
      <c r="F19" s="72" t="s">
        <v>429</v>
      </c>
      <c r="G19" s="22" t="s">
        <v>30</v>
      </c>
      <c r="H19" s="24" t="s">
        <v>430</v>
      </c>
      <c r="I19" s="24" t="s">
        <v>431</v>
      </c>
      <c r="J19" s="25" t="s">
        <v>427</v>
      </c>
    </row>
    <row r="20" spans="1:10" ht="62">
      <c r="A20" s="185"/>
      <c r="B20" s="55" t="s">
        <v>432</v>
      </c>
      <c r="C20" s="58">
        <v>1</v>
      </c>
      <c r="D20" s="46">
        <v>830</v>
      </c>
      <c r="E20" s="59"/>
      <c r="F20" s="72" t="s">
        <v>433</v>
      </c>
      <c r="G20" s="22" t="s">
        <v>282</v>
      </c>
      <c r="H20" s="24" t="s">
        <v>434</v>
      </c>
      <c r="I20" s="24" t="s">
        <v>435</v>
      </c>
      <c r="J20" s="26"/>
    </row>
    <row r="21" spans="1:10" ht="155">
      <c r="A21" s="185"/>
      <c r="B21" s="55" t="s">
        <v>436</v>
      </c>
      <c r="C21" s="58">
        <v>1</v>
      </c>
      <c r="D21" s="46">
        <v>943</v>
      </c>
      <c r="E21" s="59"/>
      <c r="F21" s="72" t="s">
        <v>437</v>
      </c>
      <c r="G21" s="22" t="s">
        <v>30</v>
      </c>
      <c r="H21" s="24" t="s">
        <v>438</v>
      </c>
      <c r="I21" s="24" t="s">
        <v>439</v>
      </c>
      <c r="J21" s="25" t="s">
        <v>440</v>
      </c>
    </row>
    <row r="22" spans="1:10" ht="139.5">
      <c r="A22" s="185"/>
      <c r="B22" s="55" t="s">
        <v>441</v>
      </c>
      <c r="C22" s="58">
        <v>1</v>
      </c>
      <c r="D22" s="46">
        <v>78</v>
      </c>
      <c r="E22" s="59"/>
      <c r="F22" s="72" t="s">
        <v>442</v>
      </c>
      <c r="G22" s="22" t="s">
        <v>30</v>
      </c>
      <c r="H22" s="24" t="s">
        <v>443</v>
      </c>
      <c r="I22" s="24" t="s">
        <v>444</v>
      </c>
      <c r="J22" s="25" t="s">
        <v>445</v>
      </c>
    </row>
    <row r="23" spans="1:10" ht="201.5">
      <c r="A23" s="185"/>
      <c r="B23" s="55" t="s">
        <v>446</v>
      </c>
      <c r="C23" s="58">
        <v>1</v>
      </c>
      <c r="D23" s="46">
        <v>829</v>
      </c>
      <c r="E23" s="21"/>
      <c r="F23" s="72" t="s">
        <v>447</v>
      </c>
      <c r="G23" s="22" t="s">
        <v>30</v>
      </c>
      <c r="H23" s="24" t="s">
        <v>448</v>
      </c>
      <c r="I23" s="24" t="s">
        <v>449</v>
      </c>
      <c r="J23" s="26"/>
    </row>
    <row r="24" spans="1:10" ht="77.5">
      <c r="A24" s="185"/>
      <c r="B24" s="55" t="s">
        <v>450</v>
      </c>
      <c r="C24" s="58">
        <v>1</v>
      </c>
      <c r="D24" s="46">
        <v>643</v>
      </c>
      <c r="E24" s="21"/>
      <c r="F24" s="72" t="s">
        <v>451</v>
      </c>
      <c r="G24" s="22" t="s">
        <v>30</v>
      </c>
      <c r="H24" s="24" t="s">
        <v>452</v>
      </c>
      <c r="I24" s="85" t="s">
        <v>453</v>
      </c>
      <c r="J24" s="26"/>
    </row>
    <row r="25" spans="1:10" ht="48" customHeight="1">
      <c r="A25" s="185" t="s">
        <v>454</v>
      </c>
      <c r="B25" s="55" t="s">
        <v>455</v>
      </c>
      <c r="C25" s="60">
        <v>2</v>
      </c>
      <c r="D25" s="46">
        <v>120</v>
      </c>
      <c r="E25" s="21"/>
      <c r="F25" s="72" t="s">
        <v>456</v>
      </c>
      <c r="G25" s="22" t="s">
        <v>30</v>
      </c>
      <c r="H25" s="24" t="s">
        <v>457</v>
      </c>
      <c r="I25" s="24" t="s">
        <v>458</v>
      </c>
      <c r="J25" s="26"/>
    </row>
    <row r="26" spans="1:10" ht="171" thickBot="1">
      <c r="A26" s="185"/>
      <c r="B26" s="55" t="s">
        <v>459</v>
      </c>
      <c r="C26" s="60">
        <v>2</v>
      </c>
      <c r="D26" s="46">
        <v>134</v>
      </c>
      <c r="E26" s="21"/>
      <c r="F26" s="72" t="s">
        <v>460</v>
      </c>
      <c r="G26" s="22" t="s">
        <v>30</v>
      </c>
      <c r="H26" s="24" t="s">
        <v>461</v>
      </c>
      <c r="I26" s="24" t="s">
        <v>462</v>
      </c>
      <c r="J26" s="26"/>
    </row>
    <row r="27" spans="1:10" ht="93.5" thickBot="1">
      <c r="A27" s="185"/>
      <c r="B27" s="55" t="s">
        <v>463</v>
      </c>
      <c r="C27" s="60">
        <v>2</v>
      </c>
      <c r="D27" s="46">
        <v>190</v>
      </c>
      <c r="E27" s="21"/>
      <c r="F27" s="72" t="s">
        <v>464</v>
      </c>
      <c r="G27" s="22" t="s">
        <v>30</v>
      </c>
      <c r="H27" s="24" t="s">
        <v>1268</v>
      </c>
      <c r="I27" s="24" t="s">
        <v>1269</v>
      </c>
      <c r="J27" s="26" t="s">
        <v>1270</v>
      </c>
    </row>
    <row r="28" spans="1:10" ht="63.75" customHeight="1" thickBot="1">
      <c r="A28" s="185" t="s">
        <v>465</v>
      </c>
      <c r="B28" s="55" t="s">
        <v>466</v>
      </c>
      <c r="C28" s="58">
        <v>1</v>
      </c>
      <c r="D28" s="46">
        <v>502</v>
      </c>
      <c r="E28" s="21"/>
      <c r="F28" s="72" t="s">
        <v>467</v>
      </c>
      <c r="G28" s="22" t="s">
        <v>282</v>
      </c>
      <c r="H28" s="24" t="s">
        <v>468</v>
      </c>
      <c r="I28" s="24" t="s">
        <v>469</v>
      </c>
      <c r="J28" s="26"/>
    </row>
    <row r="29" spans="1:10" ht="77.5">
      <c r="A29" s="185"/>
      <c r="B29" s="55" t="s">
        <v>470</v>
      </c>
      <c r="C29" s="58">
        <v>1</v>
      </c>
      <c r="D29" s="46">
        <v>611</v>
      </c>
      <c r="E29" s="21"/>
      <c r="F29" s="72" t="s">
        <v>471</v>
      </c>
      <c r="G29" s="22" t="s">
        <v>30</v>
      </c>
      <c r="H29" s="24" t="s">
        <v>472</v>
      </c>
      <c r="I29" s="24" t="s">
        <v>473</v>
      </c>
      <c r="J29" s="26"/>
    </row>
    <row r="30" spans="1:10" ht="46.5">
      <c r="A30" s="185"/>
      <c r="B30" s="55" t="s">
        <v>474</v>
      </c>
      <c r="C30" s="58">
        <v>1</v>
      </c>
      <c r="D30" s="46">
        <v>502</v>
      </c>
      <c r="E30" s="21"/>
      <c r="F30" s="72" t="s">
        <v>475</v>
      </c>
      <c r="G30" s="22" t="s">
        <v>282</v>
      </c>
      <c r="H30" s="24" t="s">
        <v>476</v>
      </c>
      <c r="I30" s="24" t="s">
        <v>477</v>
      </c>
      <c r="J30" s="26"/>
    </row>
    <row r="31" spans="1:10" ht="124">
      <c r="A31" s="185"/>
      <c r="B31" s="55" t="s">
        <v>478</v>
      </c>
      <c r="C31" s="62">
        <v>1</v>
      </c>
      <c r="D31" s="50">
        <v>95</v>
      </c>
      <c r="E31" s="27"/>
      <c r="F31" s="73" t="s">
        <v>479</v>
      </c>
      <c r="G31" s="28" t="s">
        <v>30</v>
      </c>
      <c r="H31" s="28" t="s">
        <v>480</v>
      </c>
      <c r="I31" s="78" t="s">
        <v>481</v>
      </c>
      <c r="J31" s="30"/>
    </row>
  </sheetData>
  <mergeCells count="5">
    <mergeCell ref="A2:A6"/>
    <mergeCell ref="A7:A14"/>
    <mergeCell ref="A15:A24"/>
    <mergeCell ref="A25:A27"/>
    <mergeCell ref="A28:A31"/>
  </mergeCells>
  <dataValidations count="1">
    <dataValidation type="list" operator="equal" showErrorMessage="1" sqref="G2:G31" xr:uid="{00000000-0002-0000-0500-000000000000}">
      <formula1>"Valid,Non-valid,Not Applicable"</formula1>
      <formula2>0</formula2>
    </dataValidation>
  </dataValidations>
  <pageMargins left="0.78749999999999998" right="0.78749999999999998" top="1.0249999999999999" bottom="1.0249999999999999" header="0.78749999999999998" footer="0.78749999999999998"/>
  <pageSetup firstPageNumber="0" orientation="portrait" horizontalDpi="300" verticalDpi="300"/>
  <headerFooter>
    <oddHeader>&amp;C&amp;A</oddHeader>
    <oddFooter>&amp;CPage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MJ14"/>
  <sheetViews>
    <sheetView zoomScale="73" zoomScaleNormal="95" workbookViewId="0">
      <selection activeCell="F5" sqref="F5"/>
    </sheetView>
  </sheetViews>
  <sheetFormatPr defaultColWidth="8.81640625" defaultRowHeight="21"/>
  <cols>
    <col min="1" max="1" width="31.54296875" style="64" customWidth="1"/>
    <col min="2" max="2" width="6.7265625" style="20" customWidth="1"/>
    <col min="3" max="3" width="15.1796875" style="52" customWidth="1"/>
    <col min="4" max="5" width="8.81640625" style="52"/>
    <col min="6" max="6" width="80.26953125" style="20" customWidth="1"/>
    <col min="7" max="7" width="16.7265625" style="20" customWidth="1"/>
    <col min="8" max="8" width="31" style="20" customWidth="1"/>
    <col min="9" max="9" width="24" style="20" customWidth="1"/>
    <col min="10" max="10" width="35.1796875" style="20" customWidth="1"/>
    <col min="11" max="1024" width="8.81640625" style="20"/>
  </cols>
  <sheetData>
    <row r="1" spans="1:10" s="74" customFormat="1" ht="21.5" thickBot="1">
      <c r="A1" s="111" t="s">
        <v>24</v>
      </c>
      <c r="B1" s="112" t="s">
        <v>25</v>
      </c>
      <c r="C1" s="113" t="s">
        <v>26</v>
      </c>
      <c r="D1" s="113" t="s">
        <v>27</v>
      </c>
      <c r="E1" s="113" t="s">
        <v>28</v>
      </c>
      <c r="F1" s="114" t="s">
        <v>29</v>
      </c>
      <c r="G1" s="114" t="s">
        <v>30</v>
      </c>
      <c r="H1" s="114" t="s">
        <v>31</v>
      </c>
      <c r="I1" s="114" t="s">
        <v>32</v>
      </c>
      <c r="J1" s="114" t="s">
        <v>33</v>
      </c>
    </row>
    <row r="2" spans="1:10" ht="341.5" thickBot="1">
      <c r="A2" s="186" t="s">
        <v>517</v>
      </c>
      <c r="B2" s="97" t="s">
        <v>304</v>
      </c>
      <c r="C2" s="115">
        <v>1</v>
      </c>
      <c r="D2" s="116">
        <v>532</v>
      </c>
      <c r="E2" s="117"/>
      <c r="F2" s="110" t="s">
        <v>518</v>
      </c>
      <c r="G2" s="109" t="s">
        <v>30</v>
      </c>
      <c r="H2" s="109" t="s">
        <v>519</v>
      </c>
      <c r="I2" s="109" t="s">
        <v>520</v>
      </c>
      <c r="J2" s="119" t="s">
        <v>521</v>
      </c>
    </row>
    <row r="3" spans="1:10" ht="279.5" thickBot="1">
      <c r="A3" s="186"/>
      <c r="B3" s="97" t="s">
        <v>322</v>
      </c>
      <c r="C3" s="105">
        <v>1</v>
      </c>
      <c r="D3" s="101">
        <v>532</v>
      </c>
      <c r="E3" s="102"/>
      <c r="F3" s="103" t="s">
        <v>522</v>
      </c>
      <c r="G3" s="87" t="s">
        <v>282</v>
      </c>
      <c r="H3" s="87"/>
      <c r="I3" s="87" t="s">
        <v>523</v>
      </c>
      <c r="J3" s="86" t="s">
        <v>524</v>
      </c>
    </row>
    <row r="4" spans="1:10" ht="248.5" thickBot="1">
      <c r="A4" s="186"/>
      <c r="B4" s="97" t="s">
        <v>525</v>
      </c>
      <c r="C4" s="100">
        <v>2</v>
      </c>
      <c r="D4" s="101">
        <v>778</v>
      </c>
      <c r="E4" s="102"/>
      <c r="F4" s="103" t="s">
        <v>526</v>
      </c>
      <c r="G4" s="87" t="s">
        <v>30</v>
      </c>
      <c r="H4" s="87" t="s">
        <v>527</v>
      </c>
      <c r="I4" s="87" t="s">
        <v>528</v>
      </c>
      <c r="J4" s="86" t="s">
        <v>529</v>
      </c>
    </row>
    <row r="5" spans="1:10" ht="264" thickBot="1">
      <c r="A5" s="186"/>
      <c r="B5" s="97" t="s">
        <v>530</v>
      </c>
      <c r="C5" s="100">
        <v>2</v>
      </c>
      <c r="D5" s="101">
        <v>778</v>
      </c>
      <c r="E5" s="102"/>
      <c r="F5" s="103" t="s">
        <v>531</v>
      </c>
      <c r="G5" s="87" t="s">
        <v>30</v>
      </c>
      <c r="H5" s="87" t="s">
        <v>532</v>
      </c>
      <c r="I5" s="87" t="s">
        <v>533</v>
      </c>
      <c r="J5" s="86" t="s">
        <v>534</v>
      </c>
    </row>
    <row r="6" spans="1:10" ht="248.5" thickBot="1">
      <c r="A6" s="186" t="s">
        <v>535</v>
      </c>
      <c r="B6" s="97" t="s">
        <v>333</v>
      </c>
      <c r="C6" s="100">
        <v>2</v>
      </c>
      <c r="D6" s="101">
        <v>778</v>
      </c>
      <c r="E6" s="102"/>
      <c r="F6" s="103" t="s">
        <v>536</v>
      </c>
      <c r="G6" s="169" t="s">
        <v>30</v>
      </c>
      <c r="H6" s="87" t="s">
        <v>1165</v>
      </c>
      <c r="I6" s="87" t="s">
        <v>537</v>
      </c>
      <c r="J6" s="86" t="s">
        <v>538</v>
      </c>
    </row>
    <row r="7" spans="1:10" ht="279.5" thickBot="1">
      <c r="A7" s="186"/>
      <c r="B7" s="97" t="s">
        <v>539</v>
      </c>
      <c r="C7" s="100">
        <v>2</v>
      </c>
      <c r="D7" s="101">
        <v>285</v>
      </c>
      <c r="E7" s="102"/>
      <c r="F7" s="103" t="s">
        <v>540</v>
      </c>
      <c r="G7" s="87" t="s">
        <v>30</v>
      </c>
      <c r="H7" s="87" t="s">
        <v>541</v>
      </c>
      <c r="I7" s="87" t="s">
        <v>542</v>
      </c>
      <c r="J7" s="86" t="s">
        <v>543</v>
      </c>
    </row>
    <row r="8" spans="1:10" ht="233" thickBot="1">
      <c r="A8" s="186" t="s">
        <v>544</v>
      </c>
      <c r="B8" s="97" t="s">
        <v>545</v>
      </c>
      <c r="C8" s="100">
        <v>2</v>
      </c>
      <c r="D8" s="101">
        <v>117</v>
      </c>
      <c r="E8" s="102"/>
      <c r="F8" s="103" t="s">
        <v>546</v>
      </c>
      <c r="G8" s="87" t="s">
        <v>282</v>
      </c>
      <c r="H8" s="87"/>
      <c r="I8" s="87" t="s">
        <v>547</v>
      </c>
      <c r="J8" s="86" t="s">
        <v>548</v>
      </c>
    </row>
    <row r="9" spans="1:10" ht="16" thickBot="1">
      <c r="A9" s="186"/>
      <c r="B9" s="97" t="s">
        <v>549</v>
      </c>
      <c r="C9" s="100">
        <v>2</v>
      </c>
      <c r="D9" s="101">
        <v>117</v>
      </c>
      <c r="E9" s="102"/>
      <c r="F9" s="103" t="s">
        <v>550</v>
      </c>
      <c r="G9" s="87" t="s">
        <v>60</v>
      </c>
      <c r="H9" s="87"/>
      <c r="I9" s="87"/>
      <c r="J9" s="86"/>
    </row>
    <row r="10" spans="1:10" ht="233" thickBot="1">
      <c r="A10" s="186"/>
      <c r="B10" s="97" t="s">
        <v>551</v>
      </c>
      <c r="C10" s="100">
        <v>2</v>
      </c>
      <c r="D10" s="101">
        <v>200</v>
      </c>
      <c r="E10" s="102"/>
      <c r="F10" s="103" t="s">
        <v>552</v>
      </c>
      <c r="G10" s="87" t="s">
        <v>282</v>
      </c>
      <c r="H10" s="87"/>
      <c r="I10" s="87" t="s">
        <v>553</v>
      </c>
      <c r="J10" s="86" t="s">
        <v>554</v>
      </c>
    </row>
    <row r="11" spans="1:10" ht="264" thickBot="1">
      <c r="A11" s="186"/>
      <c r="B11" s="97" t="s">
        <v>555</v>
      </c>
      <c r="C11" s="100">
        <v>2</v>
      </c>
      <c r="D11" s="101"/>
      <c r="E11" s="102"/>
      <c r="F11" s="103" t="s">
        <v>556</v>
      </c>
      <c r="G11" s="87" t="s">
        <v>282</v>
      </c>
      <c r="H11" s="87"/>
      <c r="I11" s="87" t="s">
        <v>557</v>
      </c>
      <c r="J11" s="86" t="s">
        <v>558</v>
      </c>
    </row>
    <row r="12" spans="1:10" ht="326" thickBot="1">
      <c r="A12" s="186" t="s">
        <v>559</v>
      </c>
      <c r="B12" s="97" t="s">
        <v>560</v>
      </c>
      <c r="C12" s="105">
        <v>1</v>
      </c>
      <c r="D12" s="101">
        <v>210</v>
      </c>
      <c r="E12" s="102"/>
      <c r="F12" s="103" t="s">
        <v>561</v>
      </c>
      <c r="G12" s="87" t="s">
        <v>30</v>
      </c>
      <c r="H12" s="87" t="s">
        <v>562</v>
      </c>
      <c r="I12" s="87" t="s">
        <v>563</v>
      </c>
      <c r="J12" s="86" t="s">
        <v>564</v>
      </c>
    </row>
    <row r="13" spans="1:10" ht="326" thickBot="1">
      <c r="A13" s="186"/>
      <c r="B13" s="97" t="s">
        <v>565</v>
      </c>
      <c r="C13" s="100">
        <v>2</v>
      </c>
      <c r="D13" s="101">
        <v>544</v>
      </c>
      <c r="E13" s="102"/>
      <c r="F13" s="103" t="s">
        <v>566</v>
      </c>
      <c r="G13" s="87" t="s">
        <v>30</v>
      </c>
      <c r="H13" s="85" t="s">
        <v>567</v>
      </c>
      <c r="I13" s="87" t="s">
        <v>568</v>
      </c>
      <c r="J13" s="86" t="s">
        <v>569</v>
      </c>
    </row>
    <row r="14" spans="1:10" ht="310.5" thickBot="1">
      <c r="A14" s="186"/>
      <c r="B14" s="97" t="s">
        <v>570</v>
      </c>
      <c r="C14" s="106">
        <v>2</v>
      </c>
      <c r="D14" s="107">
        <v>431</v>
      </c>
      <c r="E14" s="118"/>
      <c r="F14" s="108" t="s">
        <v>571</v>
      </c>
      <c r="G14" s="91" t="s">
        <v>282</v>
      </c>
      <c r="H14" s="91"/>
      <c r="I14" s="91" t="s">
        <v>572</v>
      </c>
      <c r="J14" s="93" t="s">
        <v>573</v>
      </c>
    </row>
  </sheetData>
  <mergeCells count="4">
    <mergeCell ref="A2:A5"/>
    <mergeCell ref="A6:A7"/>
    <mergeCell ref="A8:A11"/>
    <mergeCell ref="A12:A14"/>
  </mergeCells>
  <dataValidations count="1">
    <dataValidation type="list" operator="equal" showErrorMessage="1" sqref="G2:G14" xr:uid="{00000000-0002-0000-0700-000000000000}">
      <formula1>"Valid,Non-valid,Not Applicable"</formula1>
      <formula2>0</formula2>
    </dataValidation>
  </dataValidations>
  <pageMargins left="0.78749999999999998" right="0.78749999999999998" top="1.0249999999999999" bottom="1.0249999999999999" header="0.78749999999999998" footer="0.78749999999999998"/>
  <pageSetup firstPageNumber="0" orientation="portrait" horizontalDpi="300" verticalDpi="300"/>
  <headerFooter>
    <oddHeader>&amp;C&amp;A</oddHeader>
    <oddFooter>&amp;CPage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MJ17"/>
  <sheetViews>
    <sheetView tabSelected="1" topLeftCell="A2" zoomScale="70" zoomScaleNormal="70" workbookViewId="0">
      <selection activeCell="L3" sqref="L3"/>
    </sheetView>
  </sheetViews>
  <sheetFormatPr defaultColWidth="8.81640625" defaultRowHeight="21"/>
  <cols>
    <col min="1" max="1" width="35.26953125" style="64" customWidth="1"/>
    <col min="2" max="2" width="6.7265625" style="20" customWidth="1"/>
    <col min="3" max="3" width="12.453125" style="52" customWidth="1"/>
    <col min="4" max="5" width="8.81640625" style="52"/>
    <col min="6" max="6" width="97.1796875" style="20" customWidth="1"/>
    <col min="7" max="7" width="8.54296875" style="20" customWidth="1"/>
    <col min="8" max="8" width="36.1796875" style="20" customWidth="1"/>
    <col min="9" max="9" width="18" style="20" customWidth="1"/>
    <col min="10" max="10" width="27.26953125" style="20" customWidth="1"/>
    <col min="11" max="1024" width="8.81640625" style="20"/>
  </cols>
  <sheetData>
    <row r="1" spans="1:10" s="36" customFormat="1" ht="42">
      <c r="A1" s="75" t="s">
        <v>24</v>
      </c>
      <c r="B1" s="53" t="s">
        <v>25</v>
      </c>
      <c r="C1" s="53" t="s">
        <v>26</v>
      </c>
      <c r="D1" s="53" t="s">
        <v>27</v>
      </c>
      <c r="E1" s="53" t="s">
        <v>28</v>
      </c>
      <c r="F1" s="53" t="s">
        <v>29</v>
      </c>
      <c r="G1" s="53" t="s">
        <v>30</v>
      </c>
      <c r="H1" s="53" t="s">
        <v>31</v>
      </c>
      <c r="I1" s="53" t="s">
        <v>32</v>
      </c>
      <c r="J1" s="53" t="s">
        <v>33</v>
      </c>
    </row>
    <row r="2" spans="1:10" ht="285.64999999999998" customHeight="1">
      <c r="A2" s="185" t="s">
        <v>482</v>
      </c>
      <c r="B2" s="37" t="s">
        <v>483</v>
      </c>
      <c r="C2" s="157">
        <v>2</v>
      </c>
      <c r="D2" s="39">
        <v>311</v>
      </c>
      <c r="E2" s="40"/>
      <c r="F2" s="82" t="s">
        <v>484</v>
      </c>
      <c r="G2" s="181" t="s">
        <v>282</v>
      </c>
      <c r="H2" s="43"/>
      <c r="I2" s="43" t="s">
        <v>1101</v>
      </c>
      <c r="J2" s="83" t="s">
        <v>988</v>
      </c>
    </row>
    <row r="3" spans="1:10" ht="31">
      <c r="A3" s="185"/>
      <c r="B3" s="37" t="s">
        <v>485</v>
      </c>
      <c r="C3" s="48">
        <v>2</v>
      </c>
      <c r="D3" s="46">
        <v>311</v>
      </c>
      <c r="E3" s="21"/>
      <c r="F3" s="72" t="s">
        <v>486</v>
      </c>
      <c r="G3" s="179" t="s">
        <v>282</v>
      </c>
      <c r="H3" s="24"/>
      <c r="I3" s="24"/>
      <c r="J3" s="25"/>
    </row>
    <row r="4" spans="1:10" ht="31">
      <c r="A4" s="185"/>
      <c r="B4" s="37" t="s">
        <v>184</v>
      </c>
      <c r="C4" s="48">
        <v>2</v>
      </c>
      <c r="D4" s="46">
        <v>311</v>
      </c>
      <c r="E4" s="21"/>
      <c r="F4" s="72" t="s">
        <v>487</v>
      </c>
      <c r="G4" s="179" t="s">
        <v>282</v>
      </c>
      <c r="H4" s="24"/>
      <c r="I4" s="24"/>
      <c r="J4" s="25"/>
    </row>
    <row r="5" spans="1:10" ht="32.25" customHeight="1">
      <c r="A5" s="185" t="s">
        <v>488</v>
      </c>
      <c r="B5" s="37" t="s">
        <v>489</v>
      </c>
      <c r="C5" s="45">
        <v>1</v>
      </c>
      <c r="D5" s="46">
        <v>310</v>
      </c>
      <c r="E5" s="21"/>
      <c r="F5" s="72" t="s">
        <v>490</v>
      </c>
      <c r="G5" s="179" t="s">
        <v>30</v>
      </c>
      <c r="H5" s="24" t="s">
        <v>1145</v>
      </c>
      <c r="I5" t="s">
        <v>1144</v>
      </c>
      <c r="J5" s="25" t="s">
        <v>999</v>
      </c>
    </row>
    <row r="6" spans="1:10" ht="409.5">
      <c r="A6" s="185"/>
      <c r="B6" s="37" t="s">
        <v>491</v>
      </c>
      <c r="C6" s="48">
        <v>2</v>
      </c>
      <c r="D6" s="46">
        <v>327</v>
      </c>
      <c r="E6" s="21"/>
      <c r="F6" s="72" t="s">
        <v>492</v>
      </c>
      <c r="G6" s="179" t="s">
        <v>30</v>
      </c>
      <c r="H6" s="24" t="s">
        <v>1146</v>
      </c>
      <c r="I6" s="24" t="s">
        <v>1147</v>
      </c>
      <c r="J6" s="25" t="s">
        <v>999</v>
      </c>
    </row>
    <row r="7" spans="1:10" ht="31">
      <c r="A7" s="185"/>
      <c r="B7" s="37" t="s">
        <v>493</v>
      </c>
      <c r="C7" s="48">
        <v>2</v>
      </c>
      <c r="D7" s="46">
        <v>326</v>
      </c>
      <c r="E7" s="21"/>
      <c r="F7" s="72" t="s">
        <v>494</v>
      </c>
      <c r="G7" s="179" t="s">
        <v>282</v>
      </c>
      <c r="H7" s="24"/>
      <c r="I7" s="24"/>
      <c r="J7" s="25"/>
    </row>
    <row r="8" spans="1:10" ht="263.5">
      <c r="A8" s="185"/>
      <c r="B8" s="37" t="s">
        <v>495</v>
      </c>
      <c r="C8" s="48">
        <v>2</v>
      </c>
      <c r="D8" s="46">
        <v>326</v>
      </c>
      <c r="E8" s="21"/>
      <c r="F8" s="72" t="s">
        <v>496</v>
      </c>
      <c r="G8" s="179" t="s">
        <v>30</v>
      </c>
      <c r="H8" s="24" t="s">
        <v>1149</v>
      </c>
      <c r="I8" s="24" t="s">
        <v>1148</v>
      </c>
      <c r="J8" s="25" t="s">
        <v>999</v>
      </c>
    </row>
    <row r="9" spans="1:10" ht="248">
      <c r="A9" s="185"/>
      <c r="B9" s="37" t="s">
        <v>497</v>
      </c>
      <c r="C9" s="48">
        <v>2</v>
      </c>
      <c r="D9" s="46">
        <v>326</v>
      </c>
      <c r="E9" s="21"/>
      <c r="F9" s="72" t="s">
        <v>498</v>
      </c>
      <c r="G9" s="179" t="s">
        <v>30</v>
      </c>
      <c r="H9" s="24" t="s">
        <v>1150</v>
      </c>
      <c r="I9" s="24" t="s">
        <v>1151</v>
      </c>
      <c r="J9" s="25" t="s">
        <v>999</v>
      </c>
    </row>
    <row r="10" spans="1:10" ht="46.5">
      <c r="A10" s="185"/>
      <c r="B10" s="37" t="s">
        <v>499</v>
      </c>
      <c r="C10" s="48">
        <v>2</v>
      </c>
      <c r="D10" s="46">
        <v>326</v>
      </c>
      <c r="E10" s="21"/>
      <c r="F10" s="72" t="s">
        <v>500</v>
      </c>
      <c r="G10" s="179" t="s">
        <v>282</v>
      </c>
      <c r="H10" s="24"/>
      <c r="I10" s="24"/>
      <c r="J10" s="25"/>
    </row>
    <row r="11" spans="1:10" ht="31">
      <c r="A11" s="185"/>
      <c r="B11" s="37" t="s">
        <v>501</v>
      </c>
      <c r="C11" s="47">
        <v>3</v>
      </c>
      <c r="D11" s="46">
        <v>326</v>
      </c>
      <c r="E11" s="21"/>
      <c r="F11" s="72" t="s">
        <v>502</v>
      </c>
      <c r="G11" s="179" t="s">
        <v>282</v>
      </c>
      <c r="H11" s="24"/>
      <c r="I11" s="24"/>
      <c r="J11" s="25"/>
    </row>
    <row r="12" spans="1:10" ht="31">
      <c r="A12" s="185"/>
      <c r="B12" s="37" t="s">
        <v>503</v>
      </c>
      <c r="C12" s="47">
        <v>3</v>
      </c>
      <c r="D12" s="46">
        <v>385</v>
      </c>
      <c r="E12" s="21"/>
      <c r="F12" s="72" t="s">
        <v>504</v>
      </c>
      <c r="G12" s="179" t="s">
        <v>282</v>
      </c>
      <c r="H12" s="24"/>
      <c r="I12" s="24"/>
      <c r="J12" s="25"/>
    </row>
    <row r="13" spans="1:10" ht="48" customHeight="1">
      <c r="A13" s="185" t="s">
        <v>505</v>
      </c>
      <c r="B13" s="37" t="s">
        <v>506</v>
      </c>
      <c r="C13" s="48">
        <v>2</v>
      </c>
      <c r="D13" s="46">
        <v>338</v>
      </c>
      <c r="E13" s="21"/>
      <c r="F13" s="72" t="s">
        <v>507</v>
      </c>
      <c r="G13" s="179" t="s">
        <v>30</v>
      </c>
      <c r="H13" s="24" t="s">
        <v>1154</v>
      </c>
      <c r="I13" s="24" t="s">
        <v>1152</v>
      </c>
      <c r="J13" s="25" t="s">
        <v>1155</v>
      </c>
    </row>
    <row r="14" spans="1:10" ht="108.5">
      <c r="A14" s="185"/>
      <c r="B14" s="37" t="s">
        <v>508</v>
      </c>
      <c r="C14" s="48">
        <v>2</v>
      </c>
      <c r="D14" s="46">
        <v>338</v>
      </c>
      <c r="E14" s="21"/>
      <c r="F14" s="72" t="s">
        <v>509</v>
      </c>
      <c r="G14" s="179" t="s">
        <v>30</v>
      </c>
      <c r="H14" s="24" t="s">
        <v>1154</v>
      </c>
      <c r="I14" s="24" t="s">
        <v>1153</v>
      </c>
      <c r="J14" s="25" t="s">
        <v>1155</v>
      </c>
    </row>
    <row r="15" spans="1:10" ht="31">
      <c r="A15" s="185"/>
      <c r="B15" s="37" t="s">
        <v>510</v>
      </c>
      <c r="C15" s="47">
        <v>3</v>
      </c>
      <c r="D15" s="46">
        <v>338</v>
      </c>
      <c r="E15" s="21"/>
      <c r="F15" s="72" t="s">
        <v>511</v>
      </c>
      <c r="G15" s="179" t="s">
        <v>282</v>
      </c>
      <c r="H15" s="24"/>
      <c r="I15" s="24"/>
      <c r="J15" s="25"/>
    </row>
    <row r="16" spans="1:10" ht="48" customHeight="1">
      <c r="A16" s="185" t="s">
        <v>512</v>
      </c>
      <c r="B16" s="37" t="s">
        <v>513</v>
      </c>
      <c r="C16" s="48">
        <v>2</v>
      </c>
      <c r="D16" s="46">
        <v>798</v>
      </c>
      <c r="E16" s="21"/>
      <c r="F16" s="72" t="s">
        <v>514</v>
      </c>
      <c r="G16" s="179" t="s">
        <v>30</v>
      </c>
      <c r="H16" s="24" t="s">
        <v>1156</v>
      </c>
      <c r="I16" s="24" t="s">
        <v>1159</v>
      </c>
      <c r="J16" s="25" t="s">
        <v>1161</v>
      </c>
    </row>
    <row r="17" spans="1:10" ht="170.5">
      <c r="A17" s="185"/>
      <c r="B17" s="37" t="s">
        <v>515</v>
      </c>
      <c r="C17" s="49">
        <v>2</v>
      </c>
      <c r="D17" s="50">
        <v>320</v>
      </c>
      <c r="E17" s="27"/>
      <c r="F17" s="73" t="s">
        <v>516</v>
      </c>
      <c r="G17" s="182" t="s">
        <v>30</v>
      </c>
      <c r="H17" s="78" t="s">
        <v>1157</v>
      </c>
      <c r="I17" s="78" t="s">
        <v>1160</v>
      </c>
      <c r="J17" s="79" t="s">
        <v>1158</v>
      </c>
    </row>
  </sheetData>
  <mergeCells count="4">
    <mergeCell ref="A2:A4"/>
    <mergeCell ref="A5:A12"/>
    <mergeCell ref="A13:A15"/>
    <mergeCell ref="A16:A17"/>
  </mergeCells>
  <dataValidations count="1">
    <dataValidation type="list" operator="equal" showErrorMessage="1" sqref="G2:G17" xr:uid="{00000000-0002-0000-0600-000000000000}">
      <formula1>"Valid,Non-valid,Not Applicable"</formula1>
      <formula2>0</formula2>
    </dataValidation>
  </dataValidations>
  <pageMargins left="0.78749999999999998" right="0.78749999999999998" top="1.0249999999999999" bottom="1.0249999999999999" header="0.78749999999999998" footer="0.78749999999999998"/>
  <pageSetup firstPageNumber="0" orientation="portrait" horizontalDpi="300" verticalDpi="300"/>
  <headerFooter>
    <oddHeader>&amp;C&amp;A</oddHeader>
    <oddFooter>&amp;CPage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MJ14"/>
  <sheetViews>
    <sheetView zoomScale="19" zoomScaleNormal="95" workbookViewId="0">
      <selection activeCell="Q4" sqref="Q4"/>
    </sheetView>
  </sheetViews>
  <sheetFormatPr defaultColWidth="8.81640625" defaultRowHeight="21"/>
  <cols>
    <col min="1" max="1" width="37.26953125" style="64" customWidth="1"/>
    <col min="2" max="2" width="8.81640625" style="20"/>
    <col min="3" max="5" width="8.81640625" style="52"/>
    <col min="6" max="6" width="88.81640625" style="20" customWidth="1"/>
    <col min="7" max="7" width="8.81640625" style="20"/>
    <col min="8" max="8" width="28.26953125" style="20" customWidth="1"/>
    <col min="9" max="9" width="26.26953125" style="20" customWidth="1"/>
    <col min="10" max="10" width="37.7265625" style="20" customWidth="1"/>
    <col min="11" max="1024" width="8.81640625" style="20"/>
  </cols>
  <sheetData>
    <row r="1" spans="1:1024" s="36" customFormat="1" ht="42.5" thickBot="1">
      <c r="A1" s="75" t="s">
        <v>24</v>
      </c>
      <c r="B1" s="53" t="s">
        <v>25</v>
      </c>
      <c r="C1" s="53" t="s">
        <v>26</v>
      </c>
      <c r="D1" s="53" t="s">
        <v>27</v>
      </c>
      <c r="E1" s="53" t="s">
        <v>28</v>
      </c>
      <c r="F1" s="53" t="s">
        <v>29</v>
      </c>
      <c r="G1" s="53" t="s">
        <v>30</v>
      </c>
      <c r="H1" s="53" t="s">
        <v>31</v>
      </c>
      <c r="I1" s="53" t="s">
        <v>32</v>
      </c>
      <c r="J1" s="53" t="s">
        <v>33</v>
      </c>
    </row>
    <row r="2" spans="1:1024" ht="409.6" thickBot="1">
      <c r="A2" s="185" t="s">
        <v>636</v>
      </c>
      <c r="B2" s="37" t="s">
        <v>637</v>
      </c>
      <c r="C2" s="38">
        <v>1</v>
      </c>
      <c r="D2" s="40">
        <v>319</v>
      </c>
      <c r="E2" s="40"/>
      <c r="F2" s="82" t="s">
        <v>638</v>
      </c>
      <c r="G2" s="84" t="s">
        <v>30</v>
      </c>
      <c r="H2" s="84" t="s">
        <v>639</v>
      </c>
      <c r="I2" s="83" t="s">
        <v>640</v>
      </c>
      <c r="J2" s="88" t="s">
        <v>641</v>
      </c>
      <c r="AMI2"/>
      <c r="AMJ2"/>
    </row>
    <row r="3" spans="1:1024" ht="140" thickBot="1">
      <c r="A3" s="185"/>
      <c r="B3" s="37" t="s">
        <v>642</v>
      </c>
      <c r="C3" s="45">
        <v>1</v>
      </c>
      <c r="D3" s="21">
        <v>326</v>
      </c>
      <c r="E3" s="21"/>
      <c r="F3" s="72" t="s">
        <v>643</v>
      </c>
      <c r="G3" s="84" t="s">
        <v>30</v>
      </c>
      <c r="H3" s="24"/>
      <c r="I3" s="83" t="s">
        <v>1258</v>
      </c>
      <c r="J3" s="88"/>
    </row>
    <row r="4" spans="1:1024" ht="93.5" thickBot="1">
      <c r="A4" s="185"/>
      <c r="B4" s="37" t="s">
        <v>644</v>
      </c>
      <c r="C4" s="45">
        <v>1</v>
      </c>
      <c r="D4" s="21">
        <v>326</v>
      </c>
      <c r="E4" s="21"/>
      <c r="F4" s="72" t="s">
        <v>645</v>
      </c>
      <c r="G4" s="87" t="s">
        <v>30</v>
      </c>
      <c r="H4" s="24"/>
      <c r="I4" s="87" t="s">
        <v>1259</v>
      </c>
      <c r="J4" s="86"/>
    </row>
    <row r="5" spans="1:1024" ht="155.5" thickBot="1">
      <c r="A5" s="185" t="s">
        <v>646</v>
      </c>
      <c r="B5" s="37" t="s">
        <v>647</v>
      </c>
      <c r="C5" s="48">
        <v>2</v>
      </c>
      <c r="D5" s="21">
        <v>295</v>
      </c>
      <c r="E5" s="21"/>
      <c r="F5" s="72" t="s">
        <v>648</v>
      </c>
      <c r="G5" s="87" t="s">
        <v>30</v>
      </c>
      <c r="H5" s="24"/>
      <c r="I5" s="87" t="s">
        <v>1260</v>
      </c>
      <c r="J5" s="86" t="s">
        <v>649</v>
      </c>
    </row>
    <row r="6" spans="1:1024" ht="295" thickBot="1">
      <c r="A6" s="185"/>
      <c r="B6" s="37" t="s">
        <v>650</v>
      </c>
      <c r="C6" s="48">
        <v>2</v>
      </c>
      <c r="D6" s="21">
        <v>319</v>
      </c>
      <c r="E6" s="21"/>
      <c r="F6" s="72" t="s">
        <v>651</v>
      </c>
      <c r="G6" s="87" t="s">
        <v>30</v>
      </c>
      <c r="H6" s="87" t="s">
        <v>652</v>
      </c>
      <c r="I6" s="87" t="s">
        <v>653</v>
      </c>
      <c r="J6" s="86" t="s">
        <v>654</v>
      </c>
    </row>
    <row r="7" spans="1:1024" ht="264" thickBot="1">
      <c r="A7" s="185"/>
      <c r="B7" s="37" t="s">
        <v>655</v>
      </c>
      <c r="C7" s="48">
        <v>2</v>
      </c>
      <c r="D7" s="21">
        <v>287</v>
      </c>
      <c r="E7" s="21"/>
      <c r="F7" s="72" t="s">
        <v>656</v>
      </c>
      <c r="G7" s="87" t="s">
        <v>30</v>
      </c>
      <c r="H7" s="24" t="s">
        <v>657</v>
      </c>
      <c r="I7" s="87" t="s">
        <v>658</v>
      </c>
      <c r="J7" s="86" t="s">
        <v>659</v>
      </c>
    </row>
    <row r="8" spans="1:1024" ht="202" thickBot="1">
      <c r="A8" s="185"/>
      <c r="B8" s="37" t="s">
        <v>660</v>
      </c>
      <c r="C8" s="48">
        <v>2</v>
      </c>
      <c r="D8" s="21">
        <v>299</v>
      </c>
      <c r="E8" s="21"/>
      <c r="F8" s="72" t="s">
        <v>661</v>
      </c>
      <c r="G8" s="87" t="s">
        <v>282</v>
      </c>
      <c r="H8" s="24"/>
      <c r="I8" s="87" t="s">
        <v>662</v>
      </c>
      <c r="J8" s="86" t="s">
        <v>663</v>
      </c>
    </row>
    <row r="9" spans="1:1024" ht="62.5" thickBot="1">
      <c r="A9" s="185"/>
      <c r="B9" s="37" t="s">
        <v>664</v>
      </c>
      <c r="C9" s="158">
        <v>3</v>
      </c>
      <c r="D9" s="27">
        <v>544</v>
      </c>
      <c r="E9" s="27"/>
      <c r="F9" s="73" t="s">
        <v>665</v>
      </c>
      <c r="G9" s="91" t="s">
        <v>282</v>
      </c>
      <c r="H9" s="91"/>
      <c r="I9" s="91" t="s">
        <v>1261</v>
      </c>
      <c r="J9" s="93"/>
    </row>
    <row r="10" spans="1:1024">
      <c r="H10" s="92"/>
    </row>
    <row r="11" spans="1:1024">
      <c r="H11" s="92"/>
    </row>
    <row r="12" spans="1:1024">
      <c r="H12" s="92"/>
    </row>
    <row r="13" spans="1:1024">
      <c r="H13" s="92"/>
    </row>
    <row r="14" spans="1:1024">
      <c r="H14" s="92"/>
    </row>
  </sheetData>
  <mergeCells count="2">
    <mergeCell ref="A2:A4"/>
    <mergeCell ref="A5:A9"/>
  </mergeCells>
  <dataValidations count="1">
    <dataValidation type="list" operator="equal" showErrorMessage="1" sqref="G2:G9" xr:uid="{00000000-0002-0000-0900-000000000000}">
      <formula1>"Valid,Non-valid,Not Applicable"</formula1>
      <formula2>0</formula2>
    </dataValidation>
  </dataValidations>
  <pageMargins left="0.78749999999999998" right="0.78749999999999998" top="1.0249999999999999" bottom="1.0249999999999999" header="0.78749999999999998" footer="0.78749999999999998"/>
  <pageSetup firstPageNumber="0" orientation="portrait" horizontalDpi="300" verticalDpi="300" r:id="rId1"/>
  <headerFooter>
    <oddHeader>&amp;C&amp;A</oddHeader>
    <oddFooter>&amp;CPage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MJ18"/>
  <sheetViews>
    <sheetView topLeftCell="A15" zoomScale="15" zoomScaleNormal="70" workbookViewId="0">
      <selection activeCell="G8" sqref="G8:G10"/>
    </sheetView>
  </sheetViews>
  <sheetFormatPr defaultColWidth="8.81640625" defaultRowHeight="21"/>
  <cols>
    <col min="1" max="1" width="30.7265625" style="64" customWidth="1"/>
    <col min="2" max="2" width="8.81640625" style="20"/>
    <col min="3" max="5" width="8.81640625" style="52"/>
    <col min="6" max="6" width="93" style="20" customWidth="1"/>
    <col min="7" max="7" width="12.453125" style="20" customWidth="1"/>
    <col min="8" max="8" width="35.81640625" style="20" customWidth="1"/>
    <col min="9" max="9" width="17.453125" style="20" customWidth="1"/>
    <col min="10" max="10" width="30.81640625" style="20" customWidth="1"/>
    <col min="11" max="1024" width="8.81640625" style="20"/>
  </cols>
  <sheetData>
    <row r="1" spans="1:10" s="36" customFormat="1" ht="42.5" thickBot="1">
      <c r="A1" s="94" t="s">
        <v>24</v>
      </c>
      <c r="B1" s="95" t="s">
        <v>25</v>
      </c>
      <c r="C1" s="96" t="s">
        <v>26</v>
      </c>
      <c r="D1" s="96" t="s">
        <v>27</v>
      </c>
      <c r="E1" s="96" t="s">
        <v>28</v>
      </c>
      <c r="F1" s="95" t="s">
        <v>29</v>
      </c>
      <c r="G1" s="95" t="s">
        <v>30</v>
      </c>
      <c r="H1" s="95" t="s">
        <v>31</v>
      </c>
      <c r="I1" s="95" t="s">
        <v>32</v>
      </c>
      <c r="J1" s="95" t="s">
        <v>33</v>
      </c>
    </row>
    <row r="2" spans="1:10" ht="409.6" thickBot="1">
      <c r="A2" s="186" t="s">
        <v>574</v>
      </c>
      <c r="B2" s="97" t="s">
        <v>575</v>
      </c>
      <c r="C2" s="98">
        <v>2</v>
      </c>
      <c r="D2" s="99">
        <v>524</v>
      </c>
      <c r="E2" s="81"/>
      <c r="F2" s="82" t="s">
        <v>576</v>
      </c>
      <c r="G2" s="177" t="s">
        <v>30</v>
      </c>
      <c r="H2" s="80" t="s">
        <v>1168</v>
      </c>
      <c r="I2" s="82" t="s">
        <v>1169</v>
      </c>
      <c r="J2" s="83" t="s">
        <v>1172</v>
      </c>
    </row>
    <row r="3" spans="1:10" ht="409.6" thickBot="1">
      <c r="A3" s="186"/>
      <c r="B3" s="97" t="s">
        <v>577</v>
      </c>
      <c r="C3" s="100">
        <v>2</v>
      </c>
      <c r="D3" s="101">
        <v>524</v>
      </c>
      <c r="E3" s="102"/>
      <c r="F3" s="103" t="s">
        <v>578</v>
      </c>
      <c r="G3" s="178" t="s">
        <v>30</v>
      </c>
      <c r="H3" s="87" t="s">
        <v>1170</v>
      </c>
      <c r="I3" s="87" t="s">
        <v>1171</v>
      </c>
      <c r="J3" s="86" t="s">
        <v>1173</v>
      </c>
    </row>
    <row r="4" spans="1:10" ht="409.6" thickBot="1">
      <c r="A4" s="186"/>
      <c r="B4" s="97" t="s">
        <v>579</v>
      </c>
      <c r="C4" s="100">
        <v>2</v>
      </c>
      <c r="D4" s="101">
        <v>233</v>
      </c>
      <c r="E4" s="102"/>
      <c r="F4" s="103" t="s">
        <v>580</v>
      </c>
      <c r="G4" s="178" t="s">
        <v>30</v>
      </c>
      <c r="H4" s="87" t="s">
        <v>581</v>
      </c>
      <c r="I4" s="87" t="s">
        <v>582</v>
      </c>
      <c r="J4" s="86" t="s">
        <v>583</v>
      </c>
    </row>
    <row r="5" spans="1:10" ht="409.6" thickBot="1">
      <c r="A5" s="186"/>
      <c r="B5" s="97" t="s">
        <v>584</v>
      </c>
      <c r="C5" s="100">
        <v>2</v>
      </c>
      <c r="D5" s="101">
        <v>770</v>
      </c>
      <c r="E5" s="102"/>
      <c r="F5" s="103" t="s">
        <v>585</v>
      </c>
      <c r="G5" s="178" t="s">
        <v>30</v>
      </c>
      <c r="H5" s="89" t="s">
        <v>1174</v>
      </c>
      <c r="I5" s="87" t="s">
        <v>1175</v>
      </c>
      <c r="J5" s="86" t="s">
        <v>1176</v>
      </c>
    </row>
    <row r="6" spans="1:10" ht="409.6" thickBot="1">
      <c r="A6" s="186"/>
      <c r="B6" s="97" t="s">
        <v>586</v>
      </c>
      <c r="C6" s="104">
        <v>3</v>
      </c>
      <c r="D6" s="101">
        <v>19</v>
      </c>
      <c r="E6" s="102"/>
      <c r="F6" s="103" t="s">
        <v>587</v>
      </c>
      <c r="G6" s="178" t="s">
        <v>30</v>
      </c>
      <c r="H6" s="89" t="s">
        <v>1177</v>
      </c>
      <c r="I6" s="87" t="s">
        <v>1178</v>
      </c>
      <c r="J6" s="86" t="s">
        <v>1179</v>
      </c>
    </row>
    <row r="7" spans="1:10" ht="326" thickBot="1">
      <c r="A7" s="186"/>
      <c r="B7" s="97" t="s">
        <v>588</v>
      </c>
      <c r="C7" s="104">
        <v>3</v>
      </c>
      <c r="D7" s="101">
        <v>19</v>
      </c>
      <c r="E7" s="102"/>
      <c r="F7" s="103" t="s">
        <v>589</v>
      </c>
      <c r="G7" s="89" t="s">
        <v>282</v>
      </c>
      <c r="H7" s="89"/>
      <c r="I7" s="87" t="s">
        <v>590</v>
      </c>
      <c r="J7" s="86" t="s">
        <v>591</v>
      </c>
    </row>
    <row r="8" spans="1:10" ht="409.6" thickBot="1">
      <c r="A8" s="186" t="s">
        <v>592</v>
      </c>
      <c r="B8" s="97" t="s">
        <v>593</v>
      </c>
      <c r="C8" s="105">
        <v>1</v>
      </c>
      <c r="D8" s="101">
        <v>525</v>
      </c>
      <c r="E8" s="102"/>
      <c r="F8" s="103" t="s">
        <v>594</v>
      </c>
      <c r="G8" s="178" t="s">
        <v>30</v>
      </c>
      <c r="H8" s="89" t="s">
        <v>1180</v>
      </c>
      <c r="I8" s="87" t="s">
        <v>1181</v>
      </c>
      <c r="J8" s="86" t="s">
        <v>1182</v>
      </c>
    </row>
    <row r="9" spans="1:10" ht="357" thickBot="1">
      <c r="A9" s="186"/>
      <c r="B9" s="97" t="s">
        <v>595</v>
      </c>
      <c r="C9" s="105">
        <v>1</v>
      </c>
      <c r="D9" s="101">
        <v>922</v>
      </c>
      <c r="E9" s="102"/>
      <c r="F9" s="103" t="s">
        <v>596</v>
      </c>
      <c r="G9" s="178" t="s">
        <v>282</v>
      </c>
      <c r="H9" s="87" t="s">
        <v>597</v>
      </c>
      <c r="I9" s="87" t="s">
        <v>598</v>
      </c>
      <c r="J9" s="86" t="s">
        <v>599</v>
      </c>
    </row>
    <row r="10" spans="1:10" ht="409.6" thickBot="1">
      <c r="A10" s="186"/>
      <c r="B10" s="97" t="s">
        <v>600</v>
      </c>
      <c r="C10" s="105">
        <v>1</v>
      </c>
      <c r="D10" s="101">
        <v>922</v>
      </c>
      <c r="E10" s="102"/>
      <c r="F10" s="103" t="s">
        <v>601</v>
      </c>
      <c r="G10" s="178" t="s">
        <v>30</v>
      </c>
      <c r="H10" s="89" t="s">
        <v>1183</v>
      </c>
      <c r="I10" s="87" t="s">
        <v>1184</v>
      </c>
      <c r="J10" s="86" t="s">
        <v>1185</v>
      </c>
    </row>
    <row r="11" spans="1:10" ht="409.6" thickBot="1">
      <c r="A11" s="186" t="s">
        <v>602</v>
      </c>
      <c r="B11" s="97" t="s">
        <v>603</v>
      </c>
      <c r="C11" s="105">
        <v>1</v>
      </c>
      <c r="D11" s="101">
        <v>319</v>
      </c>
      <c r="E11" s="102"/>
      <c r="F11" s="103" t="s">
        <v>604</v>
      </c>
      <c r="G11" s="89" t="s">
        <v>30</v>
      </c>
      <c r="H11" s="87" t="s">
        <v>605</v>
      </c>
      <c r="I11" s="87" t="s">
        <v>606</v>
      </c>
      <c r="J11" s="86" t="s">
        <v>607</v>
      </c>
    </row>
    <row r="12" spans="1:10" ht="295" thickBot="1">
      <c r="A12" s="186"/>
      <c r="B12" s="97" t="s">
        <v>608</v>
      </c>
      <c r="C12" s="105">
        <v>1</v>
      </c>
      <c r="D12" s="101">
        <v>212</v>
      </c>
      <c r="E12" s="102"/>
      <c r="F12" s="103" t="s">
        <v>609</v>
      </c>
      <c r="G12" s="89" t="s">
        <v>282</v>
      </c>
      <c r="H12" s="87"/>
      <c r="I12" s="87" t="s">
        <v>610</v>
      </c>
      <c r="J12" s="86" t="s">
        <v>611</v>
      </c>
    </row>
    <row r="13" spans="1:10" ht="310.5" thickBot="1">
      <c r="A13" s="186"/>
      <c r="B13" s="97" t="s">
        <v>612</v>
      </c>
      <c r="C13" s="105">
        <v>1</v>
      </c>
      <c r="D13" s="101">
        <v>285</v>
      </c>
      <c r="E13" s="102"/>
      <c r="F13" s="103" t="s">
        <v>613</v>
      </c>
      <c r="G13" s="89" t="s">
        <v>282</v>
      </c>
      <c r="H13" s="89"/>
      <c r="I13" s="87" t="s">
        <v>614</v>
      </c>
      <c r="J13" s="86" t="s">
        <v>615</v>
      </c>
    </row>
    <row r="14" spans="1:10" ht="372.5" thickBot="1">
      <c r="A14" s="186"/>
      <c r="B14" s="97" t="s">
        <v>616</v>
      </c>
      <c r="C14" s="105">
        <v>1</v>
      </c>
      <c r="D14" s="101">
        <v>200</v>
      </c>
      <c r="E14" s="102"/>
      <c r="F14" s="103" t="s">
        <v>617</v>
      </c>
      <c r="G14" s="89" t="s">
        <v>282</v>
      </c>
      <c r="H14" s="89"/>
      <c r="I14" s="87" t="s">
        <v>618</v>
      </c>
      <c r="J14" s="86" t="s">
        <v>619</v>
      </c>
    </row>
    <row r="15" spans="1:10" ht="357" thickBot="1">
      <c r="A15" s="186"/>
      <c r="B15" s="97" t="s">
        <v>620</v>
      </c>
      <c r="C15" s="100">
        <v>2</v>
      </c>
      <c r="D15" s="101">
        <v>532</v>
      </c>
      <c r="E15" s="102"/>
      <c r="F15" s="103" t="s">
        <v>621</v>
      </c>
      <c r="G15" s="89" t="s">
        <v>282</v>
      </c>
      <c r="H15" s="89"/>
      <c r="I15" s="87" t="s">
        <v>622</v>
      </c>
      <c r="J15" s="86" t="s">
        <v>623</v>
      </c>
    </row>
    <row r="16" spans="1:10" ht="326" thickBot="1">
      <c r="A16" s="186"/>
      <c r="B16" s="97" t="s">
        <v>624</v>
      </c>
      <c r="C16" s="100">
        <v>2</v>
      </c>
      <c r="D16" s="101">
        <v>226</v>
      </c>
      <c r="E16" s="101"/>
      <c r="F16" s="103" t="s">
        <v>625</v>
      </c>
      <c r="G16" s="89" t="s">
        <v>282</v>
      </c>
      <c r="H16" s="89"/>
      <c r="I16" s="87" t="s">
        <v>626</v>
      </c>
      <c r="J16" s="86" t="s">
        <v>627</v>
      </c>
    </row>
    <row r="17" spans="1:10" ht="388" thickBot="1">
      <c r="A17" s="186"/>
      <c r="B17" s="97" t="s">
        <v>628</v>
      </c>
      <c r="C17" s="100">
        <v>2</v>
      </c>
      <c r="D17" s="101">
        <v>327</v>
      </c>
      <c r="E17" s="101"/>
      <c r="F17" s="103" t="s">
        <v>629</v>
      </c>
      <c r="G17" s="89" t="s">
        <v>282</v>
      </c>
      <c r="H17" s="89"/>
      <c r="I17" s="87" t="s">
        <v>630</v>
      </c>
      <c r="J17" s="86" t="s">
        <v>631</v>
      </c>
    </row>
    <row r="18" spans="1:10" ht="403.5" thickBot="1">
      <c r="A18" s="186"/>
      <c r="B18" s="97" t="s">
        <v>632</v>
      </c>
      <c r="C18" s="106">
        <v>2</v>
      </c>
      <c r="D18" s="107">
        <v>285</v>
      </c>
      <c r="E18" s="107"/>
      <c r="F18" s="108" t="s">
        <v>633</v>
      </c>
      <c r="G18" s="90" t="s">
        <v>282</v>
      </c>
      <c r="H18" s="90"/>
      <c r="I18" s="91" t="s">
        <v>634</v>
      </c>
      <c r="J18" s="93" t="s">
        <v>635</v>
      </c>
    </row>
  </sheetData>
  <mergeCells count="3">
    <mergeCell ref="A2:A7"/>
    <mergeCell ref="A8:A10"/>
    <mergeCell ref="A11:A18"/>
  </mergeCells>
  <dataValidations count="1">
    <dataValidation type="list" operator="equal" showErrorMessage="1" sqref="G2:G18" xr:uid="{00000000-0002-0000-0800-000000000000}">
      <formula1>"Valid,Non-valid,Not Applicable"</formula1>
      <formula2>0</formula2>
    </dataValidation>
  </dataValidations>
  <pageMargins left="0.78749999999999998" right="0.78749999999999998" top="1.0249999999999999" bottom="1.0249999999999999" header="0.78749999999999998" footer="0.78749999999999998"/>
  <pageSetup firstPageNumber="0" orientation="portrait" horizontalDpi="300" verticalDpi="300"/>
  <headerFooter>
    <oddHeader>&amp;C&amp;A</oddHeader>
    <oddFooter>&amp;CPage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MJ26"/>
  <sheetViews>
    <sheetView zoomScale="61" zoomScaleNormal="95" workbookViewId="0">
      <selection activeCell="K26" sqref="K26"/>
    </sheetView>
  </sheetViews>
  <sheetFormatPr defaultColWidth="8.81640625" defaultRowHeight="21"/>
  <cols>
    <col min="1" max="1" width="40.81640625" style="64" customWidth="1"/>
    <col min="2" max="2" width="14.1796875" style="20" customWidth="1"/>
    <col min="3" max="5" width="8.81640625" style="20"/>
    <col min="6" max="6" width="88.7265625" style="20" customWidth="1"/>
    <col min="7" max="7" width="17.1796875" style="20" customWidth="1"/>
    <col min="8" max="8" width="35.26953125" style="20" customWidth="1"/>
    <col min="9" max="9" width="20.453125" style="20" customWidth="1"/>
    <col min="10" max="10" width="33.453125" style="20" customWidth="1"/>
    <col min="11" max="1024" width="8.81640625" style="20"/>
  </cols>
  <sheetData>
    <row r="1" spans="1:10" s="36" customFormat="1" ht="42.5" thickBot="1">
      <c r="A1" s="120" t="s">
        <v>24</v>
      </c>
      <c r="B1" s="114" t="s">
        <v>25</v>
      </c>
      <c r="C1" s="113" t="s">
        <v>26</v>
      </c>
      <c r="D1" s="113" t="s">
        <v>27</v>
      </c>
      <c r="E1" s="113" t="s">
        <v>28</v>
      </c>
      <c r="F1" s="114" t="s">
        <v>29</v>
      </c>
      <c r="G1" s="114" t="s">
        <v>30</v>
      </c>
      <c r="H1" s="114" t="s">
        <v>31</v>
      </c>
      <c r="I1" s="114" t="s">
        <v>32</v>
      </c>
      <c r="J1" s="114" t="s">
        <v>33</v>
      </c>
    </row>
    <row r="2" spans="1:10" ht="109" thickBot="1">
      <c r="A2" s="187" t="s">
        <v>776</v>
      </c>
      <c r="B2" s="121" t="s">
        <v>777</v>
      </c>
      <c r="C2" s="122">
        <v>2</v>
      </c>
      <c r="D2" s="123"/>
      <c r="E2" s="124"/>
      <c r="F2" s="125" t="s">
        <v>778</v>
      </c>
      <c r="G2" s="126" t="s">
        <v>30</v>
      </c>
      <c r="H2" s="126"/>
      <c r="I2" s="140" t="s">
        <v>1242</v>
      </c>
      <c r="J2" s="141"/>
    </row>
    <row r="3" spans="1:10" ht="140" thickBot="1">
      <c r="A3" s="187"/>
      <c r="B3" s="97" t="s">
        <v>779</v>
      </c>
      <c r="C3" s="127">
        <v>2</v>
      </c>
      <c r="D3" s="128">
        <v>120</v>
      </c>
      <c r="E3" s="129"/>
      <c r="F3" s="130" t="s">
        <v>780</v>
      </c>
      <c r="G3" s="131" t="s">
        <v>30</v>
      </c>
      <c r="H3" s="142"/>
      <c r="I3" s="142" t="s">
        <v>1243</v>
      </c>
      <c r="J3" s="143"/>
    </row>
    <row r="4" spans="1:10" ht="124.5" thickBot="1">
      <c r="A4" s="187"/>
      <c r="B4" s="97" t="s">
        <v>781</v>
      </c>
      <c r="C4" s="127">
        <v>2</v>
      </c>
      <c r="D4" s="128">
        <v>16</v>
      </c>
      <c r="E4" s="129"/>
      <c r="F4" s="130" t="s">
        <v>782</v>
      </c>
      <c r="G4" s="131" t="s">
        <v>30</v>
      </c>
      <c r="H4" s="142"/>
      <c r="I4" s="142" t="s">
        <v>1244</v>
      </c>
      <c r="J4" s="143"/>
    </row>
    <row r="5" spans="1:10" ht="109" thickBot="1">
      <c r="A5" s="187"/>
      <c r="B5" s="97" t="s">
        <v>783</v>
      </c>
      <c r="C5" s="127">
        <v>2</v>
      </c>
      <c r="D5" s="128"/>
      <c r="E5" s="129"/>
      <c r="F5" s="130" t="s">
        <v>784</v>
      </c>
      <c r="G5" s="131" t="s">
        <v>30</v>
      </c>
      <c r="H5" s="131"/>
      <c r="I5" s="142" t="s">
        <v>1245</v>
      </c>
      <c r="J5" s="143"/>
    </row>
    <row r="6" spans="1:10" ht="124.5" thickBot="1">
      <c r="A6" s="187"/>
      <c r="B6" s="97" t="s">
        <v>785</v>
      </c>
      <c r="C6" s="133">
        <v>3</v>
      </c>
      <c r="D6" s="128"/>
      <c r="E6" s="129"/>
      <c r="F6" s="130" t="s">
        <v>786</v>
      </c>
      <c r="G6" s="131" t="s">
        <v>282</v>
      </c>
      <c r="H6" s="131"/>
      <c r="I6" s="142" t="s">
        <v>1246</v>
      </c>
      <c r="J6" s="143"/>
    </row>
    <row r="7" spans="1:10" ht="341.5" thickBot="1">
      <c r="A7" s="186" t="s">
        <v>787</v>
      </c>
      <c r="B7" s="97" t="s">
        <v>788</v>
      </c>
      <c r="C7" s="134">
        <v>1</v>
      </c>
      <c r="D7" s="128">
        <v>1026</v>
      </c>
      <c r="E7" s="129"/>
      <c r="F7" s="130" t="s">
        <v>789</v>
      </c>
      <c r="G7" s="131" t="s">
        <v>30</v>
      </c>
      <c r="H7" s="142" t="s">
        <v>790</v>
      </c>
      <c r="I7" s="142" t="s">
        <v>791</v>
      </c>
      <c r="J7" s="143" t="s">
        <v>792</v>
      </c>
    </row>
    <row r="8" spans="1:10" ht="372.5" thickBot="1">
      <c r="A8" s="186"/>
      <c r="B8" s="97" t="s">
        <v>793</v>
      </c>
      <c r="C8" s="134">
        <v>1</v>
      </c>
      <c r="D8" s="128">
        <v>1002</v>
      </c>
      <c r="E8" s="129"/>
      <c r="F8" s="130" t="s">
        <v>794</v>
      </c>
      <c r="G8" s="131" t="s">
        <v>30</v>
      </c>
      <c r="H8" s="131"/>
      <c r="I8" s="142" t="s">
        <v>795</v>
      </c>
      <c r="J8" s="143" t="s">
        <v>796</v>
      </c>
    </row>
    <row r="9" spans="1:10" ht="62.5" thickBot="1">
      <c r="A9" s="186"/>
      <c r="B9" s="97" t="s">
        <v>797</v>
      </c>
      <c r="C9" s="134">
        <v>1</v>
      </c>
      <c r="D9" s="128">
        <v>829</v>
      </c>
      <c r="E9" s="129"/>
      <c r="F9" s="130" t="s">
        <v>798</v>
      </c>
      <c r="G9" s="131" t="s">
        <v>60</v>
      </c>
      <c r="H9" s="131"/>
      <c r="I9" s="142" t="s">
        <v>1247</v>
      </c>
      <c r="J9" s="143"/>
    </row>
    <row r="10" spans="1:10" ht="155.5" thickBot="1">
      <c r="A10" s="186"/>
      <c r="B10" s="97" t="s">
        <v>799</v>
      </c>
      <c r="C10" s="127">
        <v>2</v>
      </c>
      <c r="D10" s="128">
        <v>829</v>
      </c>
      <c r="E10" s="129"/>
      <c r="F10" s="130" t="s">
        <v>800</v>
      </c>
      <c r="G10" s="131" t="s">
        <v>30</v>
      </c>
      <c r="H10" s="142" t="s">
        <v>801</v>
      </c>
      <c r="I10" s="142" t="s">
        <v>1248</v>
      </c>
      <c r="J10" s="143" t="s">
        <v>802</v>
      </c>
    </row>
    <row r="11" spans="1:10" ht="124.5" thickBot="1">
      <c r="A11" s="186"/>
      <c r="B11" s="97" t="s">
        <v>803</v>
      </c>
      <c r="C11" s="127">
        <v>2</v>
      </c>
      <c r="D11" s="128"/>
      <c r="E11" s="129"/>
      <c r="F11" s="130" t="s">
        <v>804</v>
      </c>
      <c r="G11" s="131" t="s">
        <v>30</v>
      </c>
      <c r="H11" s="131"/>
      <c r="I11" s="142" t="s">
        <v>1249</v>
      </c>
      <c r="J11" s="143"/>
    </row>
    <row r="12" spans="1:10" ht="124.5" thickBot="1">
      <c r="A12" s="186"/>
      <c r="B12" s="97" t="s">
        <v>805</v>
      </c>
      <c r="C12" s="127">
        <v>2</v>
      </c>
      <c r="D12" s="128">
        <v>265</v>
      </c>
      <c r="E12" s="129"/>
      <c r="F12" s="130" t="s">
        <v>806</v>
      </c>
      <c r="G12" s="131" t="s">
        <v>30</v>
      </c>
      <c r="H12" s="131"/>
      <c r="I12" s="142" t="s">
        <v>1250</v>
      </c>
      <c r="J12" s="143"/>
    </row>
    <row r="13" spans="1:10" ht="16" thickBot="1">
      <c r="A13" s="186" t="s">
        <v>807</v>
      </c>
      <c r="B13" s="97" t="s">
        <v>808</v>
      </c>
      <c r="C13" s="134">
        <v>1</v>
      </c>
      <c r="D13" s="128">
        <v>209</v>
      </c>
      <c r="E13" s="129"/>
      <c r="F13" s="130" t="s">
        <v>809</v>
      </c>
      <c r="G13" s="131" t="s">
        <v>60</v>
      </c>
      <c r="H13" s="131"/>
      <c r="I13" s="131"/>
      <c r="J13" s="132"/>
    </row>
    <row r="14" spans="1:10" ht="310.5" thickBot="1">
      <c r="A14" s="186"/>
      <c r="B14" s="97" t="s">
        <v>810</v>
      </c>
      <c r="C14" s="134">
        <v>1</v>
      </c>
      <c r="D14" s="128">
        <v>497</v>
      </c>
      <c r="E14" s="129"/>
      <c r="F14" s="130" t="s">
        <v>811</v>
      </c>
      <c r="G14" s="131" t="s">
        <v>30</v>
      </c>
      <c r="H14" s="142" t="s">
        <v>812</v>
      </c>
      <c r="I14" s="142" t="s">
        <v>813</v>
      </c>
      <c r="J14" s="143" t="s">
        <v>814</v>
      </c>
    </row>
    <row r="15" spans="1:10" ht="171" thickBot="1">
      <c r="A15" s="186"/>
      <c r="B15" s="97" t="s">
        <v>815</v>
      </c>
      <c r="C15" s="134">
        <v>1</v>
      </c>
      <c r="D15" s="128">
        <v>200</v>
      </c>
      <c r="E15" s="129"/>
      <c r="F15" s="130" t="s">
        <v>816</v>
      </c>
      <c r="G15" s="131" t="s">
        <v>30</v>
      </c>
      <c r="H15" s="171"/>
      <c r="I15" s="142" t="s">
        <v>1251</v>
      </c>
      <c r="J15" s="143"/>
    </row>
    <row r="16" spans="1:10" ht="357" thickBot="1">
      <c r="A16" s="186" t="s">
        <v>817</v>
      </c>
      <c r="B16" s="97" t="s">
        <v>818</v>
      </c>
      <c r="C16" s="134">
        <v>1</v>
      </c>
      <c r="D16" s="128">
        <v>173</v>
      </c>
      <c r="E16" s="129"/>
      <c r="F16" s="130" t="s">
        <v>819</v>
      </c>
      <c r="G16" s="131" t="s">
        <v>30</v>
      </c>
      <c r="H16" s="142" t="s">
        <v>820</v>
      </c>
      <c r="I16" s="142" t="s">
        <v>821</v>
      </c>
      <c r="J16" s="143" t="s">
        <v>822</v>
      </c>
    </row>
    <row r="17" spans="1:10" ht="279.5" thickBot="1">
      <c r="A17" s="186"/>
      <c r="B17" s="97" t="s">
        <v>823</v>
      </c>
      <c r="C17" s="134">
        <v>1</v>
      </c>
      <c r="D17" s="128">
        <v>116</v>
      </c>
      <c r="E17" s="129"/>
      <c r="F17" s="130" t="s">
        <v>824</v>
      </c>
      <c r="G17" s="131" t="s">
        <v>30</v>
      </c>
      <c r="H17" s="131"/>
      <c r="I17" s="142" t="s">
        <v>825</v>
      </c>
      <c r="J17" s="143" t="s">
        <v>826</v>
      </c>
    </row>
    <row r="18" spans="1:10" ht="264" thickBot="1">
      <c r="A18" s="186"/>
      <c r="B18" s="97" t="s">
        <v>827</v>
      </c>
      <c r="C18" s="134">
        <v>1</v>
      </c>
      <c r="D18" s="128">
        <v>1021</v>
      </c>
      <c r="E18" s="129"/>
      <c r="F18" s="130" t="s">
        <v>828</v>
      </c>
      <c r="G18" s="131" t="s">
        <v>282</v>
      </c>
      <c r="H18" s="131" t="s">
        <v>1252</v>
      </c>
      <c r="I18" s="142" t="s">
        <v>829</v>
      </c>
      <c r="J18" s="143" t="s">
        <v>830</v>
      </c>
    </row>
    <row r="19" spans="1:10" ht="233" thickBot="1">
      <c r="A19" s="186"/>
      <c r="B19" s="97" t="s">
        <v>831</v>
      </c>
      <c r="C19" s="134">
        <v>1</v>
      </c>
      <c r="D19" s="128">
        <v>116</v>
      </c>
      <c r="E19" s="129"/>
      <c r="F19" s="130" t="s">
        <v>832</v>
      </c>
      <c r="G19" s="131" t="s">
        <v>282</v>
      </c>
      <c r="H19" s="131" t="s">
        <v>1253</v>
      </c>
      <c r="I19" s="142" t="s">
        <v>833</v>
      </c>
      <c r="J19" s="143" t="s">
        <v>834</v>
      </c>
    </row>
    <row r="20" spans="1:10" ht="341.5" thickBot="1">
      <c r="A20" s="186"/>
      <c r="B20" s="97" t="s">
        <v>835</v>
      </c>
      <c r="C20" s="134">
        <v>1</v>
      </c>
      <c r="D20" s="128">
        <v>523</v>
      </c>
      <c r="E20" s="129"/>
      <c r="F20" s="130" t="s">
        <v>836</v>
      </c>
      <c r="G20" s="131" t="s">
        <v>30</v>
      </c>
      <c r="H20" s="142" t="s">
        <v>837</v>
      </c>
      <c r="I20" s="142" t="s">
        <v>838</v>
      </c>
      <c r="J20" s="143" t="s">
        <v>839</v>
      </c>
    </row>
    <row r="21" spans="1:10" ht="233" thickBot="1">
      <c r="A21" s="186"/>
      <c r="B21" s="97" t="s">
        <v>840</v>
      </c>
      <c r="C21" s="134">
        <v>1</v>
      </c>
      <c r="D21" s="128">
        <v>116</v>
      </c>
      <c r="E21" s="129"/>
      <c r="F21" s="130" t="s">
        <v>841</v>
      </c>
      <c r="G21" s="131" t="s">
        <v>282</v>
      </c>
      <c r="H21" s="131" t="s">
        <v>1254</v>
      </c>
      <c r="I21" s="142" t="s">
        <v>842</v>
      </c>
      <c r="J21" s="143" t="s">
        <v>843</v>
      </c>
    </row>
    <row r="22" spans="1:10" ht="202" thickBot="1">
      <c r="A22" s="186"/>
      <c r="B22" s="97" t="s">
        <v>844</v>
      </c>
      <c r="C22" s="134">
        <v>1</v>
      </c>
      <c r="D22" s="128">
        <v>1021</v>
      </c>
      <c r="E22" s="129"/>
      <c r="F22" s="130" t="s">
        <v>845</v>
      </c>
      <c r="G22" s="131" t="s">
        <v>282</v>
      </c>
      <c r="H22" s="131" t="s">
        <v>1255</v>
      </c>
      <c r="I22" s="142" t="s">
        <v>846</v>
      </c>
      <c r="J22" s="143" t="s">
        <v>847</v>
      </c>
    </row>
    <row r="23" spans="1:10" ht="155.5" thickBot="1">
      <c r="A23" s="186" t="s">
        <v>848</v>
      </c>
      <c r="B23" s="97" t="s">
        <v>849</v>
      </c>
      <c r="C23" s="134">
        <v>1</v>
      </c>
      <c r="D23" s="128">
        <v>749</v>
      </c>
      <c r="E23" s="129"/>
      <c r="F23" s="130" t="s">
        <v>850</v>
      </c>
      <c r="G23" s="131" t="s">
        <v>30</v>
      </c>
      <c r="H23" s="131"/>
      <c r="I23" s="142" t="s">
        <v>1256</v>
      </c>
      <c r="J23" s="143"/>
    </row>
    <row r="24" spans="1:10" ht="264" thickBot="1">
      <c r="A24" s="186"/>
      <c r="B24" s="97" t="s">
        <v>851</v>
      </c>
      <c r="C24" s="134">
        <v>1</v>
      </c>
      <c r="D24" s="128">
        <v>346</v>
      </c>
      <c r="E24" s="129"/>
      <c r="F24" s="130" t="s">
        <v>852</v>
      </c>
      <c r="G24" s="131" t="s">
        <v>30</v>
      </c>
      <c r="H24" s="142" t="s">
        <v>853</v>
      </c>
      <c r="I24" s="142" t="s">
        <v>854</v>
      </c>
      <c r="J24" s="143" t="s">
        <v>855</v>
      </c>
    </row>
    <row r="25" spans="1:10" ht="310.5" thickBot="1">
      <c r="A25" s="186"/>
      <c r="B25" s="97" t="s">
        <v>856</v>
      </c>
      <c r="C25" s="134">
        <v>1</v>
      </c>
      <c r="D25" s="128">
        <v>346</v>
      </c>
      <c r="E25" s="129"/>
      <c r="F25" s="130" t="s">
        <v>857</v>
      </c>
      <c r="G25" s="131" t="s">
        <v>30</v>
      </c>
      <c r="H25" s="142" t="s">
        <v>858</v>
      </c>
      <c r="I25" s="142" t="s">
        <v>859</v>
      </c>
      <c r="J25" s="143" t="s">
        <v>860</v>
      </c>
    </row>
    <row r="26" spans="1:10" ht="155.5" thickBot="1">
      <c r="A26" s="186"/>
      <c r="B26" s="97" t="s">
        <v>861</v>
      </c>
      <c r="C26" s="135">
        <v>2</v>
      </c>
      <c r="D26" s="136">
        <v>306</v>
      </c>
      <c r="E26" s="137"/>
      <c r="F26" s="138" t="s">
        <v>862</v>
      </c>
      <c r="G26" s="139" t="s">
        <v>30</v>
      </c>
      <c r="H26" s="139"/>
      <c r="I26" s="144" t="s">
        <v>1257</v>
      </c>
      <c r="J26" s="145"/>
    </row>
  </sheetData>
  <mergeCells count="5">
    <mergeCell ref="A2:A6"/>
    <mergeCell ref="A7:A12"/>
    <mergeCell ref="A13:A15"/>
    <mergeCell ref="A16:A22"/>
    <mergeCell ref="A23:A26"/>
  </mergeCells>
  <dataValidations count="1">
    <dataValidation type="list" operator="equal" showErrorMessage="1" sqref="G2:G26" xr:uid="{00000000-0002-0000-0E00-000000000000}">
      <formula1>"Valid,Non-valid,Not Applicable"</formula1>
      <formula2>0</formula2>
    </dataValidation>
  </dataValidations>
  <pageMargins left="0.78749999999999998" right="0.78749999999999998" top="1.0249999999999999" bottom="1.0249999999999999" header="0.78749999999999998" footer="0.78749999999999998"/>
  <pageSetup firstPageNumber="0" orientation="portrait" horizontalDpi="300" verticalDpi="300"/>
  <headerFooter>
    <oddHeader>&amp;C&amp;A</oddHeader>
    <oddFooter>&amp;CPage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MJ16"/>
  <sheetViews>
    <sheetView zoomScale="25" zoomScaleNormal="95" workbookViewId="0">
      <selection activeCell="S5" sqref="S5"/>
    </sheetView>
  </sheetViews>
  <sheetFormatPr defaultColWidth="8.81640625" defaultRowHeight="21"/>
  <cols>
    <col min="1" max="1" width="24" style="64" customWidth="1"/>
    <col min="2" max="5" width="8.81640625" style="20"/>
    <col min="6" max="6" width="84.453125" style="20" customWidth="1"/>
    <col min="7" max="7" width="17.54296875" style="20" customWidth="1"/>
    <col min="8" max="8" width="35.453125" style="20" customWidth="1"/>
    <col min="9" max="9" width="24.1796875" style="20" customWidth="1"/>
    <col min="10" max="10" width="37.81640625" style="20" customWidth="1"/>
    <col min="11" max="1024" width="8.81640625" style="20"/>
  </cols>
  <sheetData>
    <row r="1" spans="1:14" s="36" customFormat="1" ht="42.5" thickBot="1">
      <c r="A1" s="75" t="s">
        <v>24</v>
      </c>
      <c r="B1" s="53" t="s">
        <v>25</v>
      </c>
      <c r="C1" s="53" t="s">
        <v>26</v>
      </c>
      <c r="D1" s="53" t="s">
        <v>27</v>
      </c>
      <c r="E1" s="53" t="s">
        <v>28</v>
      </c>
      <c r="F1" s="53" t="s">
        <v>29</v>
      </c>
      <c r="G1" s="53" t="s">
        <v>30</v>
      </c>
      <c r="H1" s="53" t="s">
        <v>31</v>
      </c>
      <c r="I1" s="53" t="s">
        <v>32</v>
      </c>
      <c r="J1" s="53" t="s">
        <v>33</v>
      </c>
      <c r="K1" s="146"/>
      <c r="L1" s="146"/>
      <c r="M1" s="146"/>
      <c r="N1" s="146"/>
    </row>
    <row r="2" spans="1:14" ht="47" thickBot="1">
      <c r="A2" s="185" t="s">
        <v>742</v>
      </c>
      <c r="B2" s="37" t="s">
        <v>743</v>
      </c>
      <c r="C2" s="38">
        <v>1</v>
      </c>
      <c r="D2" s="40">
        <v>116</v>
      </c>
      <c r="E2" s="40"/>
      <c r="F2" s="71" t="s">
        <v>744</v>
      </c>
      <c r="G2" s="43" t="s">
        <v>30</v>
      </c>
      <c r="H2" s="43"/>
      <c r="I2" t="s">
        <v>1229</v>
      </c>
      <c r="J2" s="44"/>
    </row>
    <row r="3" spans="1:14" ht="16" thickBot="1">
      <c r="A3" s="185"/>
      <c r="B3" s="37" t="s">
        <v>745</v>
      </c>
      <c r="C3" s="45">
        <v>1</v>
      </c>
      <c r="D3" s="21">
        <v>419</v>
      </c>
      <c r="E3" s="21"/>
      <c r="F3" s="72" t="s">
        <v>746</v>
      </c>
      <c r="G3" s="24" t="s">
        <v>60</v>
      </c>
      <c r="H3" s="24"/>
      <c r="I3" s="24"/>
      <c r="J3" s="25"/>
    </row>
    <row r="4" spans="1:14" ht="139.5">
      <c r="A4" s="185"/>
      <c r="B4" s="37" t="s">
        <v>747</v>
      </c>
      <c r="C4" s="45">
        <v>1</v>
      </c>
      <c r="D4" s="21">
        <v>598</v>
      </c>
      <c r="E4" s="21"/>
      <c r="F4" s="72" t="s">
        <v>748</v>
      </c>
      <c r="G4" s="24" t="s">
        <v>30</v>
      </c>
      <c r="H4" s="24"/>
      <c r="I4" s="24" t="s">
        <v>1230</v>
      </c>
      <c r="J4" s="25"/>
    </row>
    <row r="5" spans="1:14" ht="139.5">
      <c r="A5" s="185"/>
      <c r="B5" s="37" t="s">
        <v>749</v>
      </c>
      <c r="C5" s="48">
        <v>2</v>
      </c>
      <c r="D5" s="21">
        <v>285</v>
      </c>
      <c r="E5" s="21"/>
      <c r="F5" s="147" t="s">
        <v>750</v>
      </c>
      <c r="G5" s="147" t="s">
        <v>30</v>
      </c>
      <c r="H5" s="147"/>
      <c r="I5" s="24" t="s">
        <v>1231</v>
      </c>
      <c r="J5" s="25"/>
    </row>
    <row r="6" spans="1:14" ht="155">
      <c r="A6" s="185"/>
      <c r="B6" s="37" t="s">
        <v>751</v>
      </c>
      <c r="C6" s="48">
        <v>2</v>
      </c>
      <c r="D6" s="21">
        <v>434</v>
      </c>
      <c r="E6" s="21"/>
      <c r="F6" s="72" t="s">
        <v>752</v>
      </c>
      <c r="G6" s="24" t="s">
        <v>30</v>
      </c>
      <c r="H6" s="24"/>
      <c r="I6" s="24" t="s">
        <v>1232</v>
      </c>
      <c r="J6" s="25"/>
    </row>
    <row r="7" spans="1:14" ht="32.25" customHeight="1">
      <c r="A7" s="185" t="s">
        <v>753</v>
      </c>
      <c r="B7" s="37" t="s">
        <v>754</v>
      </c>
      <c r="C7" s="45">
        <v>1</v>
      </c>
      <c r="D7" s="21">
        <v>650</v>
      </c>
      <c r="E7" s="21"/>
      <c r="F7" s="72" t="s">
        <v>755</v>
      </c>
      <c r="G7" s="24" t="s">
        <v>30</v>
      </c>
      <c r="H7" s="24"/>
      <c r="I7" s="24" t="s">
        <v>1233</v>
      </c>
      <c r="J7" s="25" t="s">
        <v>863</v>
      </c>
    </row>
    <row r="8" spans="1:14" ht="108.5">
      <c r="A8" s="185"/>
      <c r="B8" s="37" t="s">
        <v>756</v>
      </c>
      <c r="C8" s="45">
        <v>1</v>
      </c>
      <c r="D8" s="21">
        <v>20</v>
      </c>
      <c r="E8" s="21"/>
      <c r="F8" s="72" t="s">
        <v>757</v>
      </c>
      <c r="G8" s="24" t="s">
        <v>282</v>
      </c>
      <c r="H8" s="24"/>
      <c r="I8" s="24" t="s">
        <v>1234</v>
      </c>
      <c r="J8" s="25"/>
    </row>
    <row r="9" spans="1:14" ht="77.5">
      <c r="A9" s="185"/>
      <c r="B9" s="37" t="s">
        <v>758</v>
      </c>
      <c r="C9" s="45">
        <v>1</v>
      </c>
      <c r="D9" s="21">
        <v>352</v>
      </c>
      <c r="E9" s="21"/>
      <c r="F9" s="72" t="s">
        <v>759</v>
      </c>
      <c r="G9" s="24" t="s">
        <v>30</v>
      </c>
      <c r="H9" s="24"/>
      <c r="I9" s="24" t="s">
        <v>1235</v>
      </c>
      <c r="J9" s="25"/>
    </row>
    <row r="10" spans="1:14" ht="15.5">
      <c r="A10" s="185"/>
      <c r="B10" s="37" t="s">
        <v>760</v>
      </c>
      <c r="C10" s="48">
        <v>2</v>
      </c>
      <c r="D10" s="21">
        <v>770</v>
      </c>
      <c r="E10" s="21"/>
      <c r="F10" s="72" t="s">
        <v>761</v>
      </c>
      <c r="G10" s="24" t="s">
        <v>60</v>
      </c>
      <c r="H10" s="24"/>
      <c r="I10" s="24"/>
      <c r="J10" s="25"/>
    </row>
    <row r="11" spans="1:14" ht="124">
      <c r="A11" s="185"/>
      <c r="B11" s="37" t="s">
        <v>762</v>
      </c>
      <c r="C11" s="48">
        <v>2</v>
      </c>
      <c r="D11" s="21">
        <v>436</v>
      </c>
      <c r="E11" s="21"/>
      <c r="F11" s="72" t="s">
        <v>763</v>
      </c>
      <c r="G11" s="24" t="s">
        <v>30</v>
      </c>
      <c r="H11" s="24"/>
      <c r="I11" s="24" t="s">
        <v>1236</v>
      </c>
      <c r="J11" s="25"/>
    </row>
    <row r="12" spans="1:14" ht="108.5">
      <c r="A12" s="185"/>
      <c r="B12" s="37" t="s">
        <v>764</v>
      </c>
      <c r="C12" s="48">
        <v>2</v>
      </c>
      <c r="D12" s="21">
        <v>345</v>
      </c>
      <c r="E12" s="21"/>
      <c r="F12" s="72" t="s">
        <v>765</v>
      </c>
      <c r="G12" s="24" t="s">
        <v>30</v>
      </c>
      <c r="H12" s="24"/>
      <c r="I12" s="24" t="s">
        <v>1237</v>
      </c>
      <c r="J12" s="25" t="s">
        <v>864</v>
      </c>
    </row>
    <row r="13" spans="1:14" ht="48" customHeight="1">
      <c r="A13" s="185" t="s">
        <v>766</v>
      </c>
      <c r="B13" s="37" t="s">
        <v>767</v>
      </c>
      <c r="C13" s="45">
        <v>1</v>
      </c>
      <c r="D13" s="21">
        <v>20</v>
      </c>
      <c r="E13" s="21"/>
      <c r="F13" s="72" t="s">
        <v>768</v>
      </c>
      <c r="G13" s="24" t="s">
        <v>60</v>
      </c>
      <c r="H13" s="24"/>
      <c r="I13" s="24" t="s">
        <v>1238</v>
      </c>
      <c r="J13" s="25"/>
    </row>
    <row r="14" spans="1:14" ht="46.5">
      <c r="A14" s="185"/>
      <c r="B14" s="37" t="s">
        <v>769</v>
      </c>
      <c r="C14" s="48">
        <v>2</v>
      </c>
      <c r="D14" s="21">
        <v>345</v>
      </c>
      <c r="E14" s="21"/>
      <c r="F14" s="72" t="s">
        <v>770</v>
      </c>
      <c r="G14" s="24" t="s">
        <v>60</v>
      </c>
      <c r="H14" s="24"/>
      <c r="I14" s="24" t="s">
        <v>1239</v>
      </c>
      <c r="J14" s="25"/>
    </row>
    <row r="15" spans="1:14" ht="63.75" customHeight="1">
      <c r="A15" s="185" t="s">
        <v>771</v>
      </c>
      <c r="B15" s="37" t="s">
        <v>772</v>
      </c>
      <c r="C15" s="48">
        <v>2</v>
      </c>
      <c r="D15" s="21">
        <v>770</v>
      </c>
      <c r="E15" s="21"/>
      <c r="F15" s="72" t="s">
        <v>773</v>
      </c>
      <c r="G15" s="24" t="s">
        <v>60</v>
      </c>
      <c r="H15" s="24"/>
      <c r="I15" s="24" t="s">
        <v>1240</v>
      </c>
      <c r="J15" s="25"/>
    </row>
    <row r="16" spans="1:14" ht="31">
      <c r="A16" s="185"/>
      <c r="B16" s="37" t="s">
        <v>774</v>
      </c>
      <c r="C16" s="49">
        <v>2</v>
      </c>
      <c r="D16" s="27">
        <v>285</v>
      </c>
      <c r="E16" s="27"/>
      <c r="F16" s="73" t="s">
        <v>775</v>
      </c>
      <c r="G16" s="78" t="s">
        <v>60</v>
      </c>
      <c r="H16" s="78"/>
      <c r="I16" s="78" t="s">
        <v>1241</v>
      </c>
      <c r="J16" s="79"/>
    </row>
  </sheetData>
  <mergeCells count="4">
    <mergeCell ref="A2:A6"/>
    <mergeCell ref="A7:A12"/>
    <mergeCell ref="A13:A14"/>
    <mergeCell ref="A15:A16"/>
  </mergeCells>
  <dataValidations count="1">
    <dataValidation type="list" operator="equal" showErrorMessage="1" sqref="G2:G16" xr:uid="{00000000-0002-0000-0D00-000000000000}">
      <formula1>"Valid,Non-valid,Not Applicable"</formula1>
      <formula2>0</formula2>
    </dataValidation>
  </dataValidations>
  <pageMargins left="0.78749999999999998" right="0.78749999999999998" top="1.0249999999999999" bottom="1.0249999999999999" header="0.78749999999999998" footer="0.78749999999999998"/>
  <pageSetup firstPageNumber="0" orientation="portrait" horizontalDpi="300" verticalDpi="300"/>
  <headerFooter>
    <oddHeader>&amp;C&amp;A</oddHeader>
    <oddFooter>&amp;CPage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MJ11"/>
  <sheetViews>
    <sheetView zoomScale="47" zoomScaleNormal="95" workbookViewId="0">
      <selection activeCell="AC6" sqref="AC6"/>
    </sheetView>
  </sheetViews>
  <sheetFormatPr defaultColWidth="8.81640625" defaultRowHeight="21"/>
  <cols>
    <col min="1" max="1" width="31.26953125" style="64" customWidth="1"/>
    <col min="2" max="2" width="8.81640625" style="20"/>
    <col min="3" max="4" width="8.81640625" style="52"/>
    <col min="5" max="5" width="9.453125" style="52" customWidth="1"/>
    <col min="6" max="6" width="106" style="20" customWidth="1"/>
    <col min="7" max="7" width="8.81640625" style="20"/>
    <col min="8" max="8" width="35.81640625" style="20" customWidth="1"/>
    <col min="9" max="9" width="26.1796875" style="20" customWidth="1"/>
    <col min="10" max="10" width="28.7265625" style="20" customWidth="1"/>
    <col min="11" max="1024" width="8.81640625" style="20"/>
  </cols>
  <sheetData>
    <row r="1" spans="1:10" s="36" customFormat="1" ht="42">
      <c r="A1" s="76" t="s">
        <v>24</v>
      </c>
      <c r="B1" s="53" t="s">
        <v>25</v>
      </c>
      <c r="C1" s="53" t="s">
        <v>26</v>
      </c>
      <c r="D1" s="53" t="s">
        <v>27</v>
      </c>
      <c r="E1" s="53" t="s">
        <v>28</v>
      </c>
      <c r="F1" s="53" t="s">
        <v>29</v>
      </c>
      <c r="G1" s="53" t="s">
        <v>30</v>
      </c>
      <c r="H1" s="53" t="s">
        <v>31</v>
      </c>
      <c r="I1" s="53" t="s">
        <v>32</v>
      </c>
      <c r="J1" s="53" t="s">
        <v>33</v>
      </c>
    </row>
    <row r="2" spans="1:10" ht="124">
      <c r="A2" s="1" t="s">
        <v>666</v>
      </c>
      <c r="B2" s="37" t="s">
        <v>667</v>
      </c>
      <c r="C2" s="159">
        <v>3</v>
      </c>
      <c r="D2" s="40">
        <v>749</v>
      </c>
      <c r="E2" s="40"/>
      <c r="F2" s="71" t="s">
        <v>668</v>
      </c>
      <c r="G2" s="43" t="s">
        <v>30</v>
      </c>
      <c r="H2" s="43" t="s">
        <v>1214</v>
      </c>
      <c r="I2" s="43" t="s">
        <v>1215</v>
      </c>
      <c r="J2" s="44" t="s">
        <v>1213</v>
      </c>
    </row>
    <row r="3" spans="1:10" ht="108.5">
      <c r="A3" s="185" t="s">
        <v>669</v>
      </c>
      <c r="B3" s="37" t="s">
        <v>670</v>
      </c>
      <c r="C3" s="48">
        <v>2</v>
      </c>
      <c r="D3" s="21">
        <v>359</v>
      </c>
      <c r="E3" s="21"/>
      <c r="F3" s="72" t="s">
        <v>671</v>
      </c>
      <c r="G3" s="24" t="s">
        <v>30</v>
      </c>
      <c r="H3" s="24"/>
      <c r="I3" s="24" t="s">
        <v>1217</v>
      </c>
      <c r="J3" s="25" t="s">
        <v>1216</v>
      </c>
    </row>
    <row r="4" spans="1:10" ht="77.5">
      <c r="A4" s="185"/>
      <c r="B4" s="37" t="s">
        <v>672</v>
      </c>
      <c r="C4" s="48">
        <v>2</v>
      </c>
      <c r="D4" s="21">
        <v>272</v>
      </c>
      <c r="E4" s="21"/>
      <c r="F4" s="72" t="s">
        <v>673</v>
      </c>
      <c r="G4" s="24" t="s">
        <v>60</v>
      </c>
      <c r="H4" s="24"/>
      <c r="I4" s="24" t="s">
        <v>1218</v>
      </c>
      <c r="J4" s="25" t="s">
        <v>865</v>
      </c>
    </row>
    <row r="5" spans="1:10" ht="62">
      <c r="A5" s="185"/>
      <c r="B5" s="37" t="s">
        <v>674</v>
      </c>
      <c r="C5" s="47">
        <v>3</v>
      </c>
      <c r="D5" s="21">
        <v>507</v>
      </c>
      <c r="E5" s="21"/>
      <c r="F5" s="72" t="s">
        <v>675</v>
      </c>
      <c r="G5" s="24" t="s">
        <v>30</v>
      </c>
      <c r="H5" s="24"/>
      <c r="I5" s="24" t="s">
        <v>1219</v>
      </c>
      <c r="J5" s="25" t="s">
        <v>1220</v>
      </c>
    </row>
    <row r="6" spans="1:10" ht="77.5">
      <c r="A6" s="185"/>
      <c r="B6" s="37" t="s">
        <v>676</v>
      </c>
      <c r="C6" s="47">
        <v>3</v>
      </c>
      <c r="D6" s="21">
        <v>511</v>
      </c>
      <c r="E6" s="21"/>
      <c r="F6" s="72" t="s">
        <v>677</v>
      </c>
      <c r="G6" s="24" t="s">
        <v>30</v>
      </c>
      <c r="H6" s="24"/>
      <c r="I6" s="24" t="s">
        <v>1221</v>
      </c>
      <c r="J6" s="25" t="s">
        <v>1222</v>
      </c>
    </row>
    <row r="7" spans="1:10" ht="46.5">
      <c r="A7" s="185"/>
      <c r="B7" s="37" t="s">
        <v>678</v>
      </c>
      <c r="C7" s="47">
        <v>3</v>
      </c>
      <c r="D7" s="21">
        <v>511</v>
      </c>
      <c r="E7" s="21"/>
      <c r="F7" s="72" t="s">
        <v>679</v>
      </c>
      <c r="G7" s="24" t="s">
        <v>30</v>
      </c>
      <c r="H7" s="85"/>
      <c r="I7" s="24" t="s">
        <v>1223</v>
      </c>
      <c r="J7" s="25" t="s">
        <v>1224</v>
      </c>
    </row>
    <row r="8" spans="1:10" ht="46.5">
      <c r="A8" s="185"/>
      <c r="B8" s="37" t="s">
        <v>680</v>
      </c>
      <c r="C8" s="47">
        <v>3</v>
      </c>
      <c r="D8" s="21">
        <v>507</v>
      </c>
      <c r="E8" s="21"/>
      <c r="F8" s="72" t="s">
        <v>681</v>
      </c>
      <c r="G8" s="24" t="s">
        <v>30</v>
      </c>
      <c r="H8" s="24"/>
      <c r="I8" s="24" t="s">
        <v>1225</v>
      </c>
      <c r="J8" s="25"/>
    </row>
    <row r="9" spans="1:10" ht="62">
      <c r="A9" s="185" t="s">
        <v>682</v>
      </c>
      <c r="B9" s="37" t="s">
        <v>683</v>
      </c>
      <c r="C9" s="45">
        <v>1</v>
      </c>
      <c r="D9" s="21">
        <v>16</v>
      </c>
      <c r="E9" s="21"/>
      <c r="F9" s="72" t="s">
        <v>684</v>
      </c>
      <c r="G9" s="24" t="s">
        <v>60</v>
      </c>
      <c r="H9" s="24"/>
      <c r="I9" s="85" t="s">
        <v>1226</v>
      </c>
      <c r="J9" s="25"/>
    </row>
    <row r="10" spans="1:10" ht="77.5">
      <c r="A10" s="185"/>
      <c r="B10" s="37" t="s">
        <v>685</v>
      </c>
      <c r="C10" s="45">
        <v>1</v>
      </c>
      <c r="D10" s="21">
        <v>353</v>
      </c>
      <c r="E10" s="21"/>
      <c r="F10" s="72" t="s">
        <v>686</v>
      </c>
      <c r="G10" s="24" t="s">
        <v>30</v>
      </c>
      <c r="H10" s="24"/>
      <c r="I10" s="24" t="s">
        <v>1228</v>
      </c>
      <c r="J10" s="25" t="s">
        <v>866</v>
      </c>
    </row>
    <row r="11" spans="1:10" ht="77.5">
      <c r="A11" s="185"/>
      <c r="B11" s="37" t="s">
        <v>687</v>
      </c>
      <c r="C11" s="160">
        <v>1</v>
      </c>
      <c r="D11" s="27">
        <v>350</v>
      </c>
      <c r="E11" s="27"/>
      <c r="F11" s="73" t="s">
        <v>688</v>
      </c>
      <c r="G11" s="78" t="s">
        <v>60</v>
      </c>
      <c r="H11" s="78"/>
      <c r="I11" s="78" t="s">
        <v>1227</v>
      </c>
      <c r="J11" s="79"/>
    </row>
  </sheetData>
  <mergeCells count="2">
    <mergeCell ref="A3:A8"/>
    <mergeCell ref="A9:A11"/>
  </mergeCells>
  <dataValidations count="1">
    <dataValidation type="list" operator="equal" showErrorMessage="1" sqref="G2:G11" xr:uid="{00000000-0002-0000-0A00-000000000000}">
      <formula1>"Valid,Non-valid,Not Applicable"</formula1>
      <formula2>0</formula2>
    </dataValidation>
  </dataValidations>
  <pageMargins left="0.78749999999999998" right="0.78749999999999998" top="1.0249999999999999" bottom="1.0249999999999999" header="0.78749999999999998" footer="0.78749999999999998"/>
  <pageSetup firstPageNumber="0" orientation="portrait" horizontalDpi="300" verticalDpi="300"/>
  <headerFooter>
    <oddHeader>&amp;C&amp;A</oddHeader>
    <oddFooter>&amp;CPage &amp;P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MJ9"/>
  <sheetViews>
    <sheetView zoomScale="33" zoomScaleNormal="90" workbookViewId="0">
      <selection activeCell="G6" sqref="G6:G8"/>
    </sheetView>
  </sheetViews>
  <sheetFormatPr defaultColWidth="8.81640625" defaultRowHeight="21"/>
  <cols>
    <col min="1" max="1" width="23.81640625" style="64" customWidth="1"/>
    <col min="2" max="2" width="8.81640625" style="20"/>
    <col min="3" max="5" width="8.81640625" style="52"/>
    <col min="6" max="6" width="71.26953125" style="20" customWidth="1"/>
    <col min="7" max="7" width="17.453125" style="20" customWidth="1"/>
    <col min="8" max="8" width="34.7265625" style="20" customWidth="1"/>
    <col min="9" max="9" width="34.453125" style="20" customWidth="1"/>
    <col min="10" max="10" width="37" style="20" customWidth="1"/>
    <col min="11" max="1024" width="8.81640625" style="20"/>
  </cols>
  <sheetData>
    <row r="1" spans="1:10" s="36" customFormat="1" ht="42">
      <c r="A1" s="75" t="s">
        <v>24</v>
      </c>
      <c r="B1" s="53" t="s">
        <v>25</v>
      </c>
      <c r="C1" s="53" t="s">
        <v>26</v>
      </c>
      <c r="D1" s="53" t="s">
        <v>27</v>
      </c>
      <c r="E1" s="53" t="s">
        <v>28</v>
      </c>
      <c r="F1" s="53" t="s">
        <v>29</v>
      </c>
      <c r="G1" s="53" t="s">
        <v>30</v>
      </c>
      <c r="H1" s="53" t="s">
        <v>31</v>
      </c>
      <c r="I1" s="53" t="s">
        <v>32</v>
      </c>
      <c r="J1" s="53" t="s">
        <v>33</v>
      </c>
    </row>
    <row r="2" spans="1:10" ht="108.5">
      <c r="A2" s="185" t="s">
        <v>689</v>
      </c>
      <c r="B2" s="37" t="s">
        <v>690</v>
      </c>
      <c r="C2" s="38">
        <v>1</v>
      </c>
      <c r="D2" s="40">
        <v>841</v>
      </c>
      <c r="E2" s="40"/>
      <c r="F2" s="71" t="s">
        <v>691</v>
      </c>
      <c r="G2" s="43" t="s">
        <v>30</v>
      </c>
      <c r="H2" s="43"/>
      <c r="I2" s="43" t="s">
        <v>1205</v>
      </c>
      <c r="J2" s="44"/>
    </row>
    <row r="3" spans="1:10" ht="62">
      <c r="A3" s="185"/>
      <c r="B3" s="37" t="s">
        <v>692</v>
      </c>
      <c r="C3" s="45">
        <v>1</v>
      </c>
      <c r="D3" s="21">
        <v>799</v>
      </c>
      <c r="E3" s="21"/>
      <c r="F3" s="72" t="s">
        <v>693</v>
      </c>
      <c r="G3" s="24" t="s">
        <v>282</v>
      </c>
      <c r="H3" s="24"/>
      <c r="I3" s="24" t="s">
        <v>1206</v>
      </c>
      <c r="J3" s="25"/>
    </row>
    <row r="4" spans="1:10" ht="77.5">
      <c r="A4" s="185"/>
      <c r="B4" s="37" t="s">
        <v>694</v>
      </c>
      <c r="C4" s="45">
        <v>1</v>
      </c>
      <c r="D4" s="21">
        <v>770</v>
      </c>
      <c r="E4" s="21"/>
      <c r="F4" s="72" t="s">
        <v>695</v>
      </c>
      <c r="G4" s="24" t="s">
        <v>30</v>
      </c>
      <c r="H4" s="24"/>
      <c r="I4" s="24" t="s">
        <v>1207</v>
      </c>
      <c r="J4" s="25"/>
    </row>
    <row r="5" spans="1:10" ht="62">
      <c r="A5" s="185"/>
      <c r="B5" s="37" t="s">
        <v>696</v>
      </c>
      <c r="C5" s="45">
        <v>1</v>
      </c>
      <c r="D5" s="21">
        <v>770</v>
      </c>
      <c r="E5" s="21"/>
      <c r="F5" s="72" t="s">
        <v>697</v>
      </c>
      <c r="G5" s="24" t="s">
        <v>30</v>
      </c>
      <c r="H5" s="24" t="s">
        <v>1208</v>
      </c>
      <c r="I5" s="24" t="s">
        <v>1209</v>
      </c>
      <c r="J5" s="25"/>
    </row>
    <row r="6" spans="1:10" ht="155">
      <c r="A6" s="185"/>
      <c r="B6" s="37" t="s">
        <v>698</v>
      </c>
      <c r="C6" s="45">
        <v>1</v>
      </c>
      <c r="D6" s="21">
        <v>841</v>
      </c>
      <c r="E6" s="21"/>
      <c r="F6" s="72" t="s">
        <v>699</v>
      </c>
      <c r="G6" s="179" t="s">
        <v>30</v>
      </c>
      <c r="H6" s="24" t="s">
        <v>1167</v>
      </c>
      <c r="I6" s="24" t="s">
        <v>867</v>
      </c>
      <c r="J6" s="25"/>
    </row>
    <row r="7" spans="1:10" ht="108.5">
      <c r="A7" s="185"/>
      <c r="B7" s="37" t="s">
        <v>700</v>
      </c>
      <c r="C7" s="48">
        <v>2</v>
      </c>
      <c r="D7" s="21">
        <v>367</v>
      </c>
      <c r="E7" s="21"/>
      <c r="F7" s="72" t="s">
        <v>701</v>
      </c>
      <c r="G7" s="179" t="s">
        <v>282</v>
      </c>
      <c r="H7" s="24"/>
      <c r="I7" s="24" t="s">
        <v>1210</v>
      </c>
      <c r="J7" s="25"/>
    </row>
    <row r="8" spans="1:10" ht="77.5">
      <c r="A8" s="185"/>
      <c r="B8" s="37" t="s">
        <v>702</v>
      </c>
      <c r="C8" s="48">
        <v>2</v>
      </c>
      <c r="D8" s="21">
        <v>754</v>
      </c>
      <c r="E8" s="21"/>
      <c r="F8" s="72" t="s">
        <v>703</v>
      </c>
      <c r="G8" s="179" t="s">
        <v>282</v>
      </c>
      <c r="H8" s="24"/>
      <c r="I8" s="24" t="s">
        <v>1211</v>
      </c>
      <c r="J8" s="25"/>
    </row>
    <row r="9" spans="1:10" ht="77.5">
      <c r="A9" s="185"/>
      <c r="B9" s="37" t="s">
        <v>704</v>
      </c>
      <c r="C9" s="49">
        <v>2</v>
      </c>
      <c r="D9" s="27">
        <v>390</v>
      </c>
      <c r="E9" s="27"/>
      <c r="F9" s="73" t="s">
        <v>705</v>
      </c>
      <c r="G9" s="78" t="s">
        <v>30</v>
      </c>
      <c r="H9" s="78"/>
      <c r="I9" s="78" t="s">
        <v>1212</v>
      </c>
      <c r="J9" s="79"/>
    </row>
  </sheetData>
  <mergeCells count="1">
    <mergeCell ref="A2:A9"/>
  </mergeCells>
  <dataValidations count="1">
    <dataValidation type="list" operator="equal" showErrorMessage="1" sqref="G2:G9" xr:uid="{00000000-0002-0000-0B00-000000000000}">
      <formula1>"Valid,Non-valid,Not Applicable"</formula1>
      <formula2>0</formula2>
    </dataValidation>
  </dataValidations>
  <pageMargins left="0.78749999999999998" right="0.78749999999999998" top="1.0249999999999999" bottom="1.0249999999999999" header="0.78749999999999998" footer="0.78749999999999998"/>
  <pageSetup firstPageNumber="0" orientation="portrait" horizontalDpi="300" verticalDpi="300"/>
  <headerFooter>
    <oddHeader>&amp;C&amp;A</oddHeader>
    <oddFooter>&amp;CPage &amp;P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MJ16"/>
  <sheetViews>
    <sheetView zoomScale="19" zoomScaleNormal="95" workbookViewId="0">
      <selection activeCell="AE9" sqref="AE9"/>
    </sheetView>
  </sheetViews>
  <sheetFormatPr defaultColWidth="8.81640625" defaultRowHeight="21"/>
  <cols>
    <col min="1" max="1" width="33.54296875" style="64" customWidth="1"/>
    <col min="2" max="2" width="13.26953125" style="20" customWidth="1"/>
    <col min="3" max="5" width="8.81640625" style="52"/>
    <col min="6" max="6" width="78.7265625" style="20" customWidth="1"/>
    <col min="7" max="7" width="18.81640625" style="20" customWidth="1"/>
    <col min="8" max="8" width="31.453125" style="20" customWidth="1"/>
    <col min="9" max="9" width="26.81640625" style="20" customWidth="1"/>
    <col min="10" max="10" width="31.81640625" style="20" customWidth="1"/>
    <col min="11" max="1024" width="8.81640625" style="20"/>
  </cols>
  <sheetData>
    <row r="1" spans="1:10" s="36" customFormat="1" ht="42">
      <c r="A1" s="75" t="s">
        <v>24</v>
      </c>
      <c r="B1" s="53" t="s">
        <v>25</v>
      </c>
      <c r="C1" s="53" t="s">
        <v>26</v>
      </c>
      <c r="D1" s="53" t="s">
        <v>27</v>
      </c>
      <c r="E1" s="53" t="s">
        <v>28</v>
      </c>
      <c r="F1" s="53" t="s">
        <v>29</v>
      </c>
      <c r="G1" s="53" t="s">
        <v>30</v>
      </c>
      <c r="H1" s="53" t="s">
        <v>31</v>
      </c>
      <c r="I1" s="53" t="s">
        <v>32</v>
      </c>
      <c r="J1" s="53" t="s">
        <v>33</v>
      </c>
    </row>
    <row r="2" spans="1:10" ht="248">
      <c r="A2" s="185" t="s">
        <v>706</v>
      </c>
      <c r="B2" s="37" t="s">
        <v>707</v>
      </c>
      <c r="C2" s="38">
        <v>1</v>
      </c>
      <c r="D2" s="40">
        <v>400</v>
      </c>
      <c r="E2" s="40"/>
      <c r="F2" s="71" t="s">
        <v>708</v>
      </c>
      <c r="G2" s="43" t="s">
        <v>30</v>
      </c>
      <c r="H2" s="43" t="s">
        <v>1187</v>
      </c>
      <c r="I2" s="43" t="s">
        <v>1186</v>
      </c>
      <c r="J2" s="44"/>
    </row>
    <row r="3" spans="1:10" ht="62">
      <c r="A3" s="185"/>
      <c r="B3" s="37" t="s">
        <v>709</v>
      </c>
      <c r="C3" s="48">
        <v>2</v>
      </c>
      <c r="D3" s="21">
        <v>409</v>
      </c>
      <c r="E3" s="21"/>
      <c r="F3" s="72" t="s">
        <v>710</v>
      </c>
      <c r="G3" s="24" t="s">
        <v>60</v>
      </c>
      <c r="H3" s="24"/>
      <c r="I3" s="24" t="s">
        <v>1188</v>
      </c>
      <c r="J3" s="25"/>
    </row>
    <row r="4" spans="1:10" ht="186">
      <c r="A4" s="185"/>
      <c r="B4" s="37" t="s">
        <v>711</v>
      </c>
      <c r="C4" s="48">
        <v>2</v>
      </c>
      <c r="D4" s="21">
        <v>770</v>
      </c>
      <c r="E4" s="21"/>
      <c r="F4" s="72" t="s">
        <v>712</v>
      </c>
      <c r="G4" s="24" t="s">
        <v>282</v>
      </c>
      <c r="H4" s="24"/>
      <c r="I4" s="24" t="s">
        <v>1189</v>
      </c>
      <c r="J4" s="25"/>
    </row>
    <row r="5" spans="1:10" ht="170.5">
      <c r="A5" s="1" t="s">
        <v>713</v>
      </c>
      <c r="B5" s="37" t="s">
        <v>714</v>
      </c>
      <c r="C5" s="48">
        <v>2</v>
      </c>
      <c r="D5" s="21">
        <v>434</v>
      </c>
      <c r="E5" s="21"/>
      <c r="F5" s="72" t="s">
        <v>715</v>
      </c>
      <c r="G5" s="24" t="s">
        <v>30</v>
      </c>
      <c r="H5" s="147" t="s">
        <v>1190</v>
      </c>
      <c r="I5" s="147" t="s">
        <v>1191</v>
      </c>
      <c r="J5" s="25"/>
    </row>
    <row r="6" spans="1:10" ht="186">
      <c r="A6" s="185" t="s">
        <v>716</v>
      </c>
      <c r="B6" s="37" t="s">
        <v>717</v>
      </c>
      <c r="C6" s="45">
        <v>1</v>
      </c>
      <c r="D6" s="21">
        <v>22</v>
      </c>
      <c r="E6" s="21"/>
      <c r="F6" s="72" t="s">
        <v>718</v>
      </c>
      <c r="G6" s="24" t="s">
        <v>30</v>
      </c>
      <c r="H6" s="24" t="s">
        <v>1193</v>
      </c>
      <c r="I6" s="24" t="s">
        <v>1192</v>
      </c>
      <c r="J6" s="25"/>
    </row>
    <row r="7" spans="1:10" ht="77.5">
      <c r="A7" s="185"/>
      <c r="B7" s="37" t="s">
        <v>719</v>
      </c>
      <c r="C7" s="45">
        <v>1</v>
      </c>
      <c r="D7" s="21">
        <v>73</v>
      </c>
      <c r="E7" s="21"/>
      <c r="F7" s="72" t="s">
        <v>720</v>
      </c>
      <c r="G7" s="24" t="s">
        <v>30</v>
      </c>
      <c r="H7" s="24"/>
      <c r="I7" s="147" t="s">
        <v>1194</v>
      </c>
      <c r="J7" s="25"/>
    </row>
    <row r="8" spans="1:10" ht="155">
      <c r="A8" s="185"/>
      <c r="B8" s="37" t="s">
        <v>721</v>
      </c>
      <c r="C8" s="45">
        <v>1</v>
      </c>
      <c r="D8" s="21">
        <v>98</v>
      </c>
      <c r="E8" s="21"/>
      <c r="F8" s="72" t="s">
        <v>722</v>
      </c>
      <c r="G8" s="24" t="s">
        <v>30</v>
      </c>
      <c r="H8" s="24"/>
      <c r="I8" s="147" t="s">
        <v>1195</v>
      </c>
      <c r="J8" s="25"/>
    </row>
    <row r="9" spans="1:10" ht="124">
      <c r="A9" s="185"/>
      <c r="B9" s="37" t="s">
        <v>723</v>
      </c>
      <c r="C9" s="45">
        <v>1</v>
      </c>
      <c r="D9" s="21">
        <v>641</v>
      </c>
      <c r="E9" s="21"/>
      <c r="F9" s="72" t="s">
        <v>724</v>
      </c>
      <c r="G9" s="24" t="s">
        <v>30</v>
      </c>
      <c r="H9" s="24" t="s">
        <v>1196</v>
      </c>
      <c r="I9" s="24"/>
      <c r="J9" s="25"/>
    </row>
    <row r="10" spans="1:10" ht="124">
      <c r="A10" s="185"/>
      <c r="B10" s="37" t="s">
        <v>725</v>
      </c>
      <c r="C10" s="45">
        <v>1</v>
      </c>
      <c r="D10" s="21">
        <v>78</v>
      </c>
      <c r="E10" s="21"/>
      <c r="F10" s="72" t="s">
        <v>726</v>
      </c>
      <c r="G10" s="24" t="s">
        <v>30</v>
      </c>
      <c r="H10" s="24"/>
      <c r="I10" s="147" t="s">
        <v>1197</v>
      </c>
      <c r="J10" s="25"/>
    </row>
    <row r="11" spans="1:10" ht="124">
      <c r="A11" s="185"/>
      <c r="B11" s="37" t="s">
        <v>727</v>
      </c>
      <c r="C11" s="48">
        <v>2</v>
      </c>
      <c r="D11" s="21">
        <v>829</v>
      </c>
      <c r="E11" s="21"/>
      <c r="F11" s="72" t="s">
        <v>728</v>
      </c>
      <c r="G11" s="24" t="s">
        <v>30</v>
      </c>
      <c r="H11" s="24"/>
      <c r="I11" s="147" t="s">
        <v>1198</v>
      </c>
      <c r="J11" s="25"/>
    </row>
    <row r="12" spans="1:10" ht="325.5">
      <c r="A12" s="185" t="s">
        <v>729</v>
      </c>
      <c r="B12" s="37" t="s">
        <v>730</v>
      </c>
      <c r="C12" s="45">
        <v>1</v>
      </c>
      <c r="D12" s="21">
        <v>922</v>
      </c>
      <c r="E12" s="21"/>
      <c r="F12" s="72" t="s">
        <v>731</v>
      </c>
      <c r="G12" s="24" t="s">
        <v>282</v>
      </c>
      <c r="H12" s="24"/>
      <c r="I12" s="147" t="s">
        <v>1200</v>
      </c>
      <c r="J12" s="25"/>
    </row>
    <row r="13" spans="1:10" ht="155">
      <c r="A13" s="185"/>
      <c r="B13" s="37" t="s">
        <v>732</v>
      </c>
      <c r="C13" s="45">
        <v>1</v>
      </c>
      <c r="D13" s="21">
        <v>509</v>
      </c>
      <c r="E13" s="21"/>
      <c r="F13" s="72" t="s">
        <v>733</v>
      </c>
      <c r="G13" s="24" t="s">
        <v>282</v>
      </c>
      <c r="H13" s="24"/>
      <c r="I13" s="24" t="s">
        <v>1199</v>
      </c>
      <c r="J13" s="25"/>
    </row>
    <row r="14" spans="1:10" ht="294.5">
      <c r="A14" s="185" t="s">
        <v>734</v>
      </c>
      <c r="B14" s="37" t="s">
        <v>735</v>
      </c>
      <c r="C14" s="45">
        <v>1</v>
      </c>
      <c r="D14" s="21">
        <v>552</v>
      </c>
      <c r="E14" s="21"/>
      <c r="F14" s="72" t="s">
        <v>736</v>
      </c>
      <c r="G14" s="24" t="s">
        <v>282</v>
      </c>
      <c r="H14" s="24"/>
      <c r="I14" s="24" t="s">
        <v>1201</v>
      </c>
      <c r="J14" s="25"/>
    </row>
    <row r="15" spans="1:10" ht="155">
      <c r="A15" s="185"/>
      <c r="B15" s="37" t="s">
        <v>737</v>
      </c>
      <c r="C15" s="45">
        <v>1</v>
      </c>
      <c r="D15" s="21">
        <v>434</v>
      </c>
      <c r="E15" s="21"/>
      <c r="F15" s="72" t="s">
        <v>738</v>
      </c>
      <c r="G15" s="24" t="s">
        <v>30</v>
      </c>
      <c r="H15" s="24" t="s">
        <v>1202</v>
      </c>
      <c r="I15" s="24" t="s">
        <v>1203</v>
      </c>
      <c r="J15" s="149"/>
    </row>
    <row r="16" spans="1:10" ht="170.5">
      <c r="A16" s="1" t="s">
        <v>739</v>
      </c>
      <c r="B16" s="37" t="s">
        <v>740</v>
      </c>
      <c r="C16" s="160">
        <v>1</v>
      </c>
      <c r="D16" s="27">
        <v>918</v>
      </c>
      <c r="E16" s="27"/>
      <c r="F16" s="73" t="s">
        <v>741</v>
      </c>
      <c r="G16" s="78" t="s">
        <v>60</v>
      </c>
      <c r="H16" s="78"/>
      <c r="I16" s="78" t="s">
        <v>1204</v>
      </c>
      <c r="J16" s="79"/>
    </row>
  </sheetData>
  <mergeCells count="4">
    <mergeCell ref="A2:A4"/>
    <mergeCell ref="A6:A11"/>
    <mergeCell ref="A12:A13"/>
    <mergeCell ref="A14:A15"/>
  </mergeCells>
  <dataValidations count="1">
    <dataValidation type="list" operator="equal" showErrorMessage="1" sqref="G2:G16" xr:uid="{00000000-0002-0000-0C00-000000000000}">
      <formula1>"Valid,Non-valid,Not Applicable"</formula1>
      <formula2>0</formula2>
    </dataValidation>
  </dataValidations>
  <pageMargins left="0.78749999999999998" right="0.78749999999999998" top="1.0249999999999999" bottom="1.0249999999999999" header="0.78749999999999998" footer="0.78749999999999998"/>
  <pageSetup firstPageNumber="0" orientation="portrait" horizontalDpi="300" verticalDpi="300"/>
  <headerFooter>
    <oddHeader>&amp;C&amp;A</oddHeader>
    <oddFooter>&amp;CPage &amp;P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04028-BECA-42A4-A806-67C2FC091E4A}">
  <dimension ref="A1"/>
  <sheetViews>
    <sheetView workbookViewId="0"/>
  </sheetViews>
  <sheetFormatPr defaultRowHeight="1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16</vt:i4>
      </vt:variant>
    </vt:vector>
  </HeadingPairs>
  <TitlesOfParts>
    <vt:vector size="16" baseType="lpstr">
      <vt:lpstr>ASVS Results</vt:lpstr>
      <vt:lpstr>Architecture, Design and Threat</vt:lpstr>
      <vt:lpstr>Authentication</vt:lpstr>
      <vt:lpstr>Session Management</vt:lpstr>
      <vt:lpstr>Access Control</vt:lpstr>
      <vt:lpstr>Validation, Sanitization and En</vt:lpstr>
      <vt:lpstr>Error Handling and Logging</vt:lpstr>
      <vt:lpstr>Stored Cryptography</vt:lpstr>
      <vt:lpstr>Communication</vt:lpstr>
      <vt:lpstr>Data Protection</vt:lpstr>
      <vt:lpstr>Configuration</vt:lpstr>
      <vt:lpstr>API and Web Service</vt:lpstr>
      <vt:lpstr>Malicious Code</vt:lpstr>
      <vt:lpstr>Business Logic</vt:lpstr>
      <vt:lpstr>Files and Resources</vt:lpstr>
      <vt:lpstr>Folha3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OWASP Application Security Verification Standard CheatSheet</dc:title>
  <dc:subject>OWASP ASVS</dc:subject>
  <dc:creator>Diana</dc:creator>
  <cp:keywords>OWASP ASVS Cheatsheet Spreadsheet</cp:keywords>
  <dc:description>Spreadsheet to help performing Code Review with the ASVS method and critieria</dc:description>
  <cp:lastModifiedBy>Diana Rodrigues Marques</cp:lastModifiedBy>
  <cp:revision>47</cp:revision>
  <dcterms:created xsi:type="dcterms:W3CDTF">2014-11-04T11:54:57Z</dcterms:created>
  <dcterms:modified xsi:type="dcterms:W3CDTF">2025-06-15T19:06:57Z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Author">
    <vt:lpwstr>Batard Florent</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