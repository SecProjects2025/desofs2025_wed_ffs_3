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myisepipp-my.sharepoint.com/personal/1211149_isep_ipp_pt/Documents/Documents/GitHub/desofs2025_wed_ffs_3/Deliverables/Fase2 Sprint1/"/>
    </mc:Choice>
  </mc:AlternateContent>
  <xr:revisionPtr revIDLastSave="23" documentId="8_{9EEE81CE-41DC-44A0-B883-E7354B326F33}" xr6:coauthVersionLast="47" xr6:coauthVersionMax="47" xr10:uidLastSave="{60B1C785-D19F-4FDA-8BA7-0E5DCD30BE5F}"/>
  <bookViews>
    <workbookView xWindow="-120" yWindow="-120" windowWidth="38640" windowHeight="21120" tabRatio="885" firstSheet="2" activeTab="14" xr2:uid="{00000000-000D-0000-FFFF-FFFF00000000}"/>
  </bookViews>
  <sheets>
    <sheet name="ASVS Results" sheetId="1" r:id="rId1"/>
    <sheet name="Architecture, Design and Threat" sheetId="2" r:id="rId2"/>
    <sheet name="Authentication" sheetId="3" r:id="rId3"/>
    <sheet name="Session Management" sheetId="4" r:id="rId4"/>
    <sheet name="Access Control" sheetId="5" r:id="rId5"/>
    <sheet name="Validation, Sanitization and En" sheetId="6" r:id="rId6"/>
    <sheet name="Stored Cryptography" sheetId="7" r:id="rId7"/>
    <sheet name="Error Handling and Logging" sheetId="8" r:id="rId8"/>
    <sheet name="Communication" sheetId="10" r:id="rId9"/>
    <sheet name="Data Protection" sheetId="9" r:id="rId10"/>
    <sheet name="Configuration" sheetId="15" r:id="rId11"/>
    <sheet name="API and Web Service" sheetId="14" r:id="rId12"/>
    <sheet name="Malicious Code" sheetId="11" r:id="rId13"/>
    <sheet name="Business Logic" sheetId="12" r:id="rId14"/>
    <sheet name="Files and Resources" sheetId="13" r:id="rId1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1" l="1"/>
  <c r="B5" i="1"/>
  <c r="C15" i="1"/>
  <c r="B15" i="1"/>
  <c r="C14" i="1"/>
  <c r="B14" i="1"/>
  <c r="C13" i="1"/>
  <c r="B13" i="1"/>
  <c r="D13" i="1" s="1"/>
  <c r="C12" i="1"/>
  <c r="B12" i="1"/>
  <c r="D12" i="1" s="1"/>
  <c r="C11" i="1"/>
  <c r="B11" i="1"/>
  <c r="D11" i="1" s="1"/>
  <c r="C10" i="1"/>
  <c r="B10" i="1"/>
  <c r="C9" i="1"/>
  <c r="B9" i="1"/>
  <c r="C8" i="1"/>
  <c r="B8" i="1"/>
  <c r="D8" i="1" s="1"/>
  <c r="C7" i="1"/>
  <c r="B7" i="1"/>
  <c r="B6" i="1"/>
  <c r="D6" i="1" s="1"/>
  <c r="C5" i="1"/>
  <c r="C4" i="1"/>
  <c r="B4" i="1"/>
  <c r="C3" i="1"/>
  <c r="B3" i="1"/>
  <c r="C2" i="1"/>
  <c r="B2" i="1"/>
  <c r="D4" i="1" l="1"/>
  <c r="D5" i="1"/>
  <c r="D7" i="1"/>
  <c r="D3" i="1"/>
  <c r="D14" i="1"/>
  <c r="D15" i="1"/>
  <c r="D9" i="1"/>
  <c r="C16" i="1"/>
  <c r="D10" i="1"/>
  <c r="B16" i="1"/>
  <c r="D2" i="1"/>
  <c r="D16" i="1" l="1"/>
</calcChain>
</file>

<file path=xl/sharedStrings.xml><?xml version="1.0" encoding="utf-8"?>
<sst xmlns="http://schemas.openxmlformats.org/spreadsheetml/2006/main" count="1814" uniqueCount="1306">
  <si>
    <t>Security Category</t>
  </si>
  <si>
    <t>Valid criteria</t>
  </si>
  <si>
    <t>Total criteria</t>
  </si>
  <si>
    <t>Validity Percentage</t>
  </si>
  <si>
    <t>ASVS Level Acquired</t>
  </si>
  <si>
    <t>Architecture, Design and Threat Modeling</t>
  </si>
  <si>
    <t>Diana</t>
  </si>
  <si>
    <t>Authentication</t>
  </si>
  <si>
    <t>Session Management</t>
  </si>
  <si>
    <t>Pedro C</t>
  </si>
  <si>
    <t>Access Control</t>
  </si>
  <si>
    <t>Validation, Sanitization and Encoding</t>
  </si>
  <si>
    <t>Stored Cryptography</t>
  </si>
  <si>
    <t>Error Handling and Logging</t>
  </si>
  <si>
    <t>Diogo</t>
  </si>
  <si>
    <t>Data Protection</t>
  </si>
  <si>
    <t>Communication</t>
  </si>
  <si>
    <t>Malicious Code</t>
  </si>
  <si>
    <t>Pedro V</t>
  </si>
  <si>
    <t>Business Logic</t>
  </si>
  <si>
    <t>Files and Resources</t>
  </si>
  <si>
    <t>API and Web Service</t>
  </si>
  <si>
    <t>Configuration</t>
  </si>
  <si>
    <t>Total</t>
  </si>
  <si>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</si>
  <si>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</si>
  <si>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</si>
  <si>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</si>
  <si>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</si>
  <si>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</si>
  <si>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</si>
  <si>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</si>
  <si>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</si>
  <si>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</si>
  <si>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</si>
  <si>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</si>
  <si>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</si>
  <si>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</si>
  <si>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</si>
  <si>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</si>
  <si>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</si>
  <si>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</si>
  <si>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</si>
  <si>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</si>
  <si>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</si>
  <si>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</si>
  <si>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</si>
  <si>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</si>
  <si>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</si>
  <si>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</si>
  <si>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</si>
  <si>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</si>
  <si>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</si>
  <si>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</si>
  <si>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</si>
  <si>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</si>
  <si>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</si>
  <si>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</si>
  <si>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Session Management Architecture</t>
  </si>
  <si>
    <t>This is a placeholder for future architectural requirements.</t>
  </si>
  <si>
    <t>Not Applicable</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</si>
  <si>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</si>
  <si>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</si>
  <si>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</si>
  <si>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</si>
  <si>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</si>
  <si>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</si>
  <si>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</si>
  <si>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</si>
  <si>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</si>
  <si>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</si>
  <si>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</si>
  <si>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</si>
  <si>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</si>
  <si>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</si>
  <si>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</si>
  <si>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</si>
  <si>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</si>
  <si>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</si>
  <si>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</si>
  <si>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</si>
  <si>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</si>
  <si>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</si>
  <si>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</si>
  <si>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</si>
  <si>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</si>
  <si>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</si>
  <si>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</si>
  <si>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</si>
  <si>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</si>
  <si>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</si>
  <si>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</si>
  <si>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</si>
  <si>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</si>
  <si>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</si>
  <si>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</si>
  <si>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</si>
  <si>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</si>
  <si>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</si>
  <si>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</si>
  <si>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</si>
  <si>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</si>
  <si>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</si>
  <si>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</si>
  <si>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</si>
  <si>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</si>
  <si>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</si>
  <si>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</si>
  <si>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</si>
  <si>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</si>
  <si>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</si>
  <si>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</si>
  <si>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</si>
  <si>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</si>
  <si>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</si>
  <si>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</si>
  <si>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</si>
  <si>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</si>
  <si>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</si>
  <si>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</si>
  <si>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API Architecture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</si>
  <si>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</si>
  <si>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</si>
  <si>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</si>
  <si>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</si>
  <si>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</si>
  <si>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</si>
  <si>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</si>
  <si>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</si>
  <si>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</si>
  <si>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</si>
  <si>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</si>
  <si>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</si>
  <si>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</si>
  <si>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</si>
  <si>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</si>
  <si>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</si>
  <si>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</si>
  <si>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</si>
  <si>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</si>
  <si>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</si>
  <si>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</si>
  <si>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</si>
  <si>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</si>
  <si>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</si>
  <si>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</si>
  <si>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</si>
  <si>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</si>
  <si>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</si>
  <si>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</si>
  <si>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</si>
  <si>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</si>
  <si>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</si>
  <si>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</si>
  <si>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</si>
  <si>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</si>
  <si>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</si>
  <si>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</si>
  <si>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</si>
  <si>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</si>
  <si>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</si>
  <si>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</si>
  <si>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</si>
  <si>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</si>
  <si>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</si>
  <si>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</si>
  <si>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</si>
  <si>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</si>
  <si>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</si>
  <si>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</si>
  <si>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</si>
  <si>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</si>
  <si>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</si>
  <si>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</si>
  <si>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</si>
  <si>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</si>
  <si>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</si>
  <si>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</si>
  <si>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</si>
  <si>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</si>
  <si>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</si>
  <si>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</si>
  <si>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</si>
  <si>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</si>
  <si>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</si>
  <si>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</si>
  <si>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</si>
  <si>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</si>
  <si>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</si>
  <si>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</si>
  <si>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</si>
  <si>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</si>
  <si>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</si>
  <si>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</si>
  <si>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</si>
  <si>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</si>
  <si>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</si>
  <si>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</si>
  <si>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</si>
  <si>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</si>
  <si>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</si>
  <si>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</si>
  <si>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</si>
  <si>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</si>
  <si>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</si>
  <si>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</si>
  <si>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</si>
  <si>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</si>
  <si>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</si>
  <si>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</si>
  <si>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</si>
  <si>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</si>
  <si>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</si>
  <si>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</si>
  <si>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</si>
  <si>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</si>
  <si>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</si>
  <si>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</si>
  <si>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</si>
  <si>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</si>
  <si>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</si>
  <si>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</si>
  <si>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</si>
  <si>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</si>
  <si>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</si>
  <si>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</si>
  <si>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</si>
  <si>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</si>
  <si>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</si>
  <si>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</si>
  <si>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</si>
  <si>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</si>
  <si>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</si>
  <si>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</si>
  <si>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</si>
  <si>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</si>
  <si>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</si>
  <si>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</si>
  <si>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</si>
  <si>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</si>
  <si>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</si>
  <si>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</si>
  <si>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</si>
  <si>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</si>
  <si>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</si>
  <si>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</si>
  <si>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</si>
  <si>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</si>
  <si>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</si>
  <si>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</si>
  <si>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</si>
  <si>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</si>
  <si>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</si>
  <si>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</si>
  <si>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</si>
  <si>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</si>
  <si>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</si>
  <si>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</si>
  <si>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</si>
  <si>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</si>
  <si>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</si>
  <si>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</si>
  <si>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</si>
  <si>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</si>
  <si>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</si>
  <si>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</si>
  <si>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</si>
  <si>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</si>
  <si>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</si>
  <si>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</si>
  <si>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</si>
  <si>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</si>
  <si>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</si>
  <si>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</si>
  <si>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</si>
  <si>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</si>
  <si>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</si>
  <si>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</si>
  <si>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</si>
  <si>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</si>
  <si>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</si>
  <si>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</si>
  <si>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Non-valid</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</si>
  <si>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</si>
  <si>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</si>
  <si>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</si>
  <si>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</si>
  <si>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</si>
  <si>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</si>
  <si>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</si>
  <si>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</si>
  <si>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</si>
  <si>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</si>
  <si>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</si>
  <si>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Password Change Implementation is on AccountController.cs</t>
  </si>
  <si>
    <t>No implementation found for password change functionality and no mechanism to terminate other active sessions.</t>
  </si>
  <si>
    <t>ASP.NET Core Identity, Microsoft.AspNetCore.Authentication, Microsoft.AspNetCore.Session and Microsoft.AspNetCore.Identity.EntityFrameworkCore for Backend, Session middleware, Identity framework and Microsoft.AspNetCore.Authentication.JwtBearer</t>
  </si>
  <si>
    <t>3.3.4</t>
  </si>
  <si>
    <t>Verify that users are able to view and (having re-entered login credentials) log out of any or all currently active sessions and devices.</t>
  </si>
  <si>
    <t>Logout Implementation is on AccountController.cs, Session Configuration on Program.cs.</t>
  </si>
  <si>
    <t>No implementation for viewing active sessions and no mechanism to log out from specific sessions. No functionality to log out from all sessions except current and no device tracking mechanism. No re-authentication requirements for session management and only basic logout functionality for current session exists.</t>
  </si>
  <si>
    <t>ASP.NET Core Identity, Database Storage for Sessions, Session Management</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</si>
  <si>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</si>
  <si>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</si>
  <si>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</si>
  <si>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</si>
  <si>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</si>
  <si>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</si>
  <si>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</si>
  <si>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</si>
  <si>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Program.cs contains session configuration with SameSite attribute in AddSession(...) and for authentication cookies there is ConfigureApplicationCookie(...)</t>
  </si>
  <si>
    <t>3.4.4</t>
  </si>
  <si>
    <t>Verify that cookie-based session tokens use the "__Host-" prefix so cookies are only sent to the host that initially set the cookie.</t>
  </si>
  <si>
    <t>Program.cs contains session and authentication cookie configurations in AddSession(...), and Authentication cookie configuration in ConfigureApplicationCookie(...)</t>
  </si>
  <si>
    <t>The application does not implement the "Host-" prefix for cookie names. There is no configuration setting the cookie name with this prefix in either the session or authentication cookie setup. The "_Host-" prefix is a security feature that, when combined with secure and path=/ attributes, ensures cookies are only sent to the host that initially set them, preventing cross-subdomain cookie leakage. This additional security measure is missing from the current implementation.</t>
  </si>
  <si>
    <t>ASP.NET Core Identity, Microsoft.AspNetCore.Authentication, Microsoft.AspNetCore.Session, Cookie authentication middleware, ASP.NET Core Cookie configuration</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</si>
  <si>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</si>
  <si>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</si>
  <si>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 xml:space="preserve">The application does not explicitly set the Path attribute for cookies to the most precise path possible. There is no configuration in either the session or authentication cookie setup that restricts the cookies to specific application paths. By default, cookies in ASP.NET Core are set with the path "/", making them available across all paths of the domain. </t>
  </si>
  <si>
    <t xml:space="preserve">ASP.NET Core Identity, Microsoft.AspNetCore.Authentication, Microsoft.AspNetCore.Session, Cookie authentication middleware, ASP.NET Core Cookie configuration
</t>
  </si>
  <si>
    <t>Token-based Session Management</t>
  </si>
  <si>
    <t>3.5.1</t>
  </si>
  <si>
    <t>7.1.2</t>
  </si>
  <si>
    <t>Verify the application allows users to revoke OAuth tokens that form trust relationships with linked applications.</t>
  </si>
  <si>
    <t>There is not any implementation related to OAuth token management or revocation in the codebase.</t>
  </si>
  <si>
    <t xml:space="preserve">The application does not implement Outh authentication or authorization. There is no functionality for users to manage or revoke OAuth tokens for linked applications. The authentication system is based on ASP.NET Core Identity with cookie-based authentication rather than OAuth token-based authentication. No OAuth token storage, management, or revocation mechanisms were found in the codebase. No controllers or endpoints exist for users to view or manage external application connections.
</t>
  </si>
  <si>
    <t>ASP.NET Core Identity, Microsoft.AspNetCore.Authentication, Cookie authentication middleware, ASP.NET Core Authentication configuration</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</si>
  <si>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</si>
  <si>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</si>
  <si>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</si>
  <si>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</si>
  <si>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</si>
  <si>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</si>
  <si>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</si>
  <si>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</si>
  <si>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Program.cs contains session timeout configuration but no RP-CSP specification, and no implementation of external authentication providers or federation found in the controller, like AccountController.cs</t>
  </si>
  <si>
    <t xml:space="preserve">The application does not implement a federated authentication system with Relying Parties (RPs) and Credential Service Providers (CSPs). There is no code that specifies maximum authentication time to external identity providers, nor mechanisms to enforce re-authentication based on such specifications. </t>
  </si>
  <si>
    <t>ASP.NET Core Identity, Microsoft.AspNetCore.Authentication, Microsoft.AspNetCore.Session, Cookie authentication middleware, ASP.NET Core Session configuration.</t>
  </si>
  <si>
    <t>3.6.2</t>
  </si>
  <si>
    <t>Verify that Credential Service Providers (CSPs) inform Relying Parties (RPs) of the last authentication event, to allow RPs to determine if they need to re-authenticate the user.</t>
  </si>
  <si>
    <t>The application does not function as a Credential Service rovider (CSP) and does not implement any mechanism to inform Relying Parties (RPs) about authentication events. The authentication system is a standalone implementation using ASP.NET Core Identity with no federation capabilities.</t>
  </si>
  <si>
    <t>ASP.NET Core Identity, Microsoft.AspNetCore.Authentication, Microsoft.AspNetCore.Session, Cookie authentication middleware, ASP.NET Core Identity configuration</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</si>
  <si>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</si>
  <si>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</si>
  <si>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</si>
  <si>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</si>
  <si>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</si>
  <si>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</si>
  <si>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</si>
  <si>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</si>
  <si>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</si>
  <si>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</si>
  <si>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</si>
  <si>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4.1.5</t>
  </si>
  <si>
    <t>Verify that access controls fail securely including when an exception occurs. ([C10](https://owasp.org/www-project-proactive-controls/#div-numbering))</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</si>
  <si>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</si>
  <si>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</si>
  <si>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</si>
  <si>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</si>
  <si>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</si>
  <si>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ASP.NET Core CORS middleware, Cookie configuration, SameSite cookie attributes, HTTPS enforcement (in production).</t>
  </si>
  <si>
    <t>Other Access Control Considerations</t>
  </si>
  <si>
    <t>4.3.1</t>
  </si>
  <si>
    <t>Verify administrative interfaces use appropriate multi-factor authentication to prevent unauthorized use.</t>
  </si>
  <si>
    <t>ASP.NET Core Identity, Microsoft.AspNetCore.Authentication, SignInManager&lt;AppUser&gt;, UserManager&lt;AppUser&gt;, Role-based authorization.</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</si>
  <si>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</si>
  <si>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</si>
  <si>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</si>
  <si>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</si>
  <si>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</si>
  <si>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</si>
  <si>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</si>
  <si>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Program.cs shows standard ASP.NET Core configuration without HTTP parameter pollution defenses in CreateBuilder(args) and in addCors(...) and AccountController.cs shows standard controller actions with model binding in Login(...).</t>
  </si>
  <si>
    <t>The application partially addresses HTTP parameter pollution concerns. ASP.NET Core provides some built-in protection through its model binding system, particularly when explicit binding sources are specified. However, the application lacks explicit defenses against HTTP parameter pollution such as custom middleware, specific validation rules, or configuration to handle duplicate parameters in a secure manner. The framework's default behavior may provide basic protection, but comprehensive defense would require additional measures.</t>
  </si>
  <si>
    <t>ASP.NET Core model binding, Controller action parameter binding attributes ([FromBody]), ASP.NET Core middleware pipeline, Model validation</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</si>
  <si>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</si>
  <si>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</si>
  <si>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AccountController.cs shows model binding without explicit over-posting protection, in Login(...).</t>
  </si>
  <si>
    <t>The application shows partial protection against mass parameter assignment attacks. ASP.NET Core provides mechanisms to prevent mass assignment attacks, but the application doesn't show clear evidence of using these protections consistently.</t>
  </si>
  <si>
    <t>ASP.NET Core model binding, View models/ DTOs, ModelState validation</t>
  </si>
  <si>
    <t>5.1.3</t>
  </si>
  <si>
    <t>Verify that all input (HTML form fields, REST requests, URL parameters, HTTP headers, cookies, batch files, RSS feeds, etc) is validated using positive validation (allow lists). ([C5](https://owasp.org/www-project-proactive-controls/#div-numbering))</t>
  </si>
  <si>
    <t>AccountController.cs shows basic validation but no clear allowlisting in Login(...).</t>
  </si>
  <si>
    <t>The application lacks evidence of comprehensive positive validation (allowlisting) accross all input types.</t>
  </si>
  <si>
    <t>ASP.NET Core model validation, ModelState validation in controllers, Data annotations (inferred).</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</si>
  <si>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</si>
  <si>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</si>
  <si>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AccountController.cs shows basic validation in Login(...).</t>
  </si>
  <si>
    <t xml:space="preserve">The application shows insifficient evidence of strong typing and schema validation. Without seeing the complete model definitions with their validation attributes, it's impossible to confirm that proper schema validation is implemented. The visible code only shows basic validation checks without the detailed constraints that would be necessary for proper structured data validation. </t>
  </si>
  <si>
    <t>ASP.NET Core model validation, ModelState validation in controllers, Strong typing in C# classes.</t>
  </si>
  <si>
    <t>5.1.5</t>
  </si>
  <si>
    <t>Verify that URL redirects and forwards only allow destinations which appear on an allow list, or show a warning when redirecting to potentially untrusted content.</t>
  </si>
  <si>
    <t>Found limited evidence of redirects in the frontend code in LoginSignUp.js.</t>
  </si>
  <si>
    <t>Based on the limited code available, the application does not show comprehensive protection against open redirect vulnerabilities.</t>
  </si>
  <si>
    <t xml:space="preserve">We are using Frontend navigation (window.location.href), React routing (inferred), No visible server-side redirect validation tools or mechanisms
</t>
  </si>
  <si>
    <t xml:space="preserve">Sanitization and Sandboxing </t>
  </si>
  <si>
    <t>Verify that all untrusted HTML input from WYSIWYG editors or similar is properly sanitized with an HTML sanitizer library or framework feature. ([C5](https://owasp.org/www-project-proactive-controls/#div-numbering))</t>
  </si>
  <si>
    <t>No clear evidence of WYSIWYG editors or HTML input handling was found.</t>
  </si>
  <si>
    <t>Based on the limited code available, there is no evidence that the application handles untrusted HTML input or implements proper HTML sanitization.</t>
  </si>
  <si>
    <t>5.2.2</t>
  </si>
  <si>
    <t>Verify that unstructured data is sanitized to enforce safety measures such as allowed characters and length.</t>
  </si>
  <si>
    <t>Limited evidence of input handling without explicit sanitization.</t>
  </si>
  <si>
    <t>The application shows insifficient evidence of sanitizing unstructed data.</t>
  </si>
  <si>
    <t>No dedicated sanitization tools visible.</t>
  </si>
  <si>
    <t>Verify that the application sanitizes user input before passing to mail systems to protect against SMTP or IMAP injection.</t>
  </si>
  <si>
    <t>Found partial email handling in Program.cs in AddSingleton&lt;&gt;()</t>
  </si>
  <si>
    <t>Baseed on the limit evidence, the application does not show proper sanitization for email-related inputs.</t>
  </si>
  <si>
    <t>No visible email sanitization tools or libraries.</t>
  </si>
  <si>
    <t>5.2.4</t>
  </si>
  <si>
    <t>Verify that the application avoids the use of eval() or other dynamic code execution features. Where there is no alternative, any user input being included must be sanitized or sandboxed before being executed.</t>
  </si>
  <si>
    <t>No instances of dynamic code execution were found in the server-side C# code examined, including in Login(...).</t>
  </si>
  <si>
    <t>The application correctly avoids dynamic code xecution features.</t>
  </si>
  <si>
    <t>Verify that the application protects against template injection attacks by ensuring that any user input being included is sanitized or sandboxed.</t>
  </si>
  <si>
    <t>Limited evidence of template handling in Frontend.</t>
  </si>
  <si>
    <t>Based on the available code, template injection protection cannot be fully assessed.</t>
  </si>
  <si>
    <t>No tradicional template engines visible in the code.</t>
  </si>
  <si>
    <t>Verify that the application protects against SSRF attacks, by validating or sanitizing untrusted data or HTTP file metadata, such as filenames and URL input fields, and uses allow lists of protocols, domains, paths and ports.</t>
  </si>
  <si>
    <t>Limited evidence of URL or file handling in the code.</t>
  </si>
  <si>
    <t>Based on the available code, SSRF protection measures are not evident.</t>
  </si>
  <si>
    <t>5.2.7</t>
  </si>
  <si>
    <t>Verify that the application sanitizes, disables, or sandboxes user-supplied Scalable Vector Graphics (SVG) scriptable content, especially as they relate to XSS resulting from inline scripts, and foreignObject.</t>
  </si>
  <si>
    <t>No evidence of SVG handling was found in the code.</t>
  </si>
  <si>
    <t>Based on the code, SVG content handling annot be properly assessed.</t>
  </si>
  <si>
    <t>Verify that the application sanitizes, disables, or sandboxes user-supplied scriptable or expression template language content, such as Markdown, CSS or XSL stylesheets, BBCode, or similar.</t>
  </si>
  <si>
    <t>No evidence of handling scriptable content like Markdown or CSS was found in the code.</t>
  </si>
  <si>
    <t>Based on the code, handling of scriptable content formats cannot be assessed.</t>
  </si>
  <si>
    <t xml:space="preserve">Output encoding and Injection Prevention </t>
  </si>
  <si>
    <t>5.3.1</t>
  </si>
  <si>
    <r>
      <rPr>
        <sz val="12"/>
        <color rgb="FF102A43"/>
        <rFont val="Calibri"/>
      </rPr>
      <t xml:space="preserve">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t>
    </r>
    <r>
      <rPr>
        <sz val="12"/>
        <color rgb="FF102A43"/>
        <rFont val="Noto Sans CJK SC"/>
      </rPr>
      <t xml:space="preserve">ねこ </t>
    </r>
    <r>
      <rPr>
        <sz val="12"/>
        <color rgb="FF102A43"/>
        <rFont val="Calibri"/>
      </rPr>
      <t>or O'Hara). ([C4](https://owasp.org/www-project-proactive-controls/#div-numbering))</t>
    </r>
  </si>
  <si>
    <t>Limited evidence of output handling in the frontend code.</t>
  </si>
  <si>
    <t>Based on the code, context-aware output encoding is not evident.</t>
  </si>
  <si>
    <t>5.3.2</t>
  </si>
  <si>
    <t>Verify that output encoding preserves the user's chosen character set and locale, such that any Unicode character point is valid and safely handled. ([C4](https://owasp.org/www-project-proactive-controls/#div-numbering))</t>
  </si>
  <si>
    <t>Limited evidence of character encoding handling.</t>
  </si>
  <si>
    <t>Based on the code, preservation of character sets and locales is not evident.</t>
  </si>
  <si>
    <t>5.3.3</t>
  </si>
  <si>
    <t>Verify that context-aware, preferably automated - or at worst, manual - output escaping protects against reflected, stored, and DOM based XSS. ([C4](https://owasp.org/www-project-proactive-controls/#div-numbering))</t>
  </si>
  <si>
    <t>Frontend code provides some inherit XSS protection in LoginSignUp.js.</t>
  </si>
  <si>
    <t>Based on the code available, XSS protection is partially implemented.</t>
  </si>
  <si>
    <t>5.3.4</t>
  </si>
  <si>
    <t>Verify that data selection or database queries (e.g. SQL, HQL, ORM, NoSQL) use parameterized queries, ORMs, entity frameworks, or are otherwise protected from database injection attacks. ([C3](https://owasp.org/www-project-proactive-controls/#div-numbering))</t>
  </si>
  <si>
    <t>In Program.cs shows Entity Framework Core configuration in AddDbContext&lt;...&gt;(...) and in AddScoped&lt;...&gt;(). AccountController.cs uses Entity Framework with parametrized methods in FindByEmailAsync(...) and in GetRolesAsync(...). And in Repository pattern implementation is referenced in Program.cs, suggesting proper data access abstraction in AddScoped&lt;...&gt;().</t>
  </si>
  <si>
    <t xml:space="preserve">The application properly protects against database injection. </t>
  </si>
  <si>
    <t>Entity Framework Core, Repository patterns (IUnitOfWork), ASP.NET Core Identity, LINQ, Parametrized queries through ORMs.</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</si>
  <si>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</si>
  <si>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</si>
  <si>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Program.cs shows exclusive use of Entity Framework Core in AddDbContext&lt;...&gt;(...) and in AddScoped&lt;...&gt;().</t>
  </si>
  <si>
    <t>The application meets this requirement through proper architecture.</t>
  </si>
  <si>
    <t>5.3.6</t>
  </si>
  <si>
    <t>Verify that the application protects against JSON injection attacks, JSON eval attacks, and JavaScript expression evaluation. ([C4](https://owasp.org/www-project-proactive-controls/#div-numbering))</t>
  </si>
  <si>
    <t>No specific JSON validation, sanitization, or protection mechanisms were found in the code.</t>
  </si>
  <si>
    <t>Base on the code, protection against JSON-related attacks is not evident.</t>
  </si>
  <si>
    <t>5.3.7</t>
  </si>
  <si>
    <t>Verify that the application protects against LDAP injection vulnerabilities, or that specific security controls to prevent LDAP injection have been implemented. ([C4](https://owasp.org/www-project-proactive-controls/#div-numbering))</t>
  </si>
  <si>
    <t>Program.cs shows standard Identity configuration in AddIdentity and AccountController.cs uses Identity for authentication in PasswordSignInAsync(...).</t>
  </si>
  <si>
    <t>This requirement is valid because the application does not use LDAP for authentication or directory services, Authentication is handled through ASP.NET Core Identity with Entity Framework storage, No LDAP queries or connections were found in the codebase, No LDAP-related libraries or dependencies were identified and the application.</t>
  </si>
  <si>
    <t>ASP.NET Core Identity, Entity Framework Core for identity storage, No LDAP-related components identified.</t>
  </si>
  <si>
    <t>5.3.8</t>
  </si>
  <si>
    <t>Verify that the application protects against OS command injection and that operating system calls use parameterized OS queries or use contextual command line output encoding. ([C4](https://owasp.org/www-project-proactive-controls/#div-numbering))</t>
  </si>
  <si>
    <t>No evidence of OS command execution was found in the codebase.</t>
  </si>
  <si>
    <t xml:space="preserve">This requirement is considered valid because the application does not execute OS commands or system processes, No use of Process.Start(), System.Diagnostics.Process, or similar APIs, No shell command execution or command-line utilities invocation, No evidence of external program execution, </t>
  </si>
  <si>
    <t>No OS command execution components or utilities identified.</t>
  </si>
  <si>
    <t>5.3.9</t>
  </si>
  <si>
    <t>Verify that the application protects against Local File Inclusion (LFI) or Remote File Inclusion (RFI) attacks.</t>
  </si>
  <si>
    <t>No evidence of file inclusion from user-controlled paths was found in the codebase.</t>
  </si>
  <si>
    <t>This requirement is considered valid because does not implement dynamic file inclusion based on user input, no evidence of including or loading files from user-controlled paths, no usage of file system operations with dynamic paths, no implementation of features that tipically lead to LFI/RFI (like themes, plugins, or custum includes) and standard fixed imports and references used throughout the codebase.</t>
  </si>
  <si>
    <t>5.3.10</t>
  </si>
  <si>
    <t>Verify that the application protects against XPath injection or XML injection attacks. ([C4](https://owasp.org/www-project-proactive-controls/#div-numbering))</t>
  </si>
  <si>
    <t>No evidence of XML processing or XPath queries was found in the codebase.</t>
  </si>
  <si>
    <t xml:space="preserve">This requirement is considered valid because the application does not use XML for data processing or storage, no XPath queries or XML parsing operation were found, the </t>
  </si>
  <si>
    <t xml:space="preserve">Memory, String and Unmanaged Code </t>
  </si>
  <si>
    <t>5.4.1</t>
  </si>
  <si>
    <t>Verify that the application uses memory-safe string, safer memory copy and pointer arithmetic to detect or prevent stack, buffer, or heap overflows.</t>
  </si>
  <si>
    <t xml:space="preserve">The application is built with C# using ASP.NET Core, which inherently provides memory-safe operations, like Program.cs shows standard C# and ASP.NET Core usage in CreateBuilder(...) and AddController() in the builder created, and in AccountController </t>
  </si>
  <si>
    <t xml:space="preserve">This requirement is considered valid because C# is a memory-safe language with automatic garbage collection, ASP.NET Core provides memory-safe string handling and operations, the application does not use unsafe code blocks or direct memory manipulation, String operations use standard .NET memory-safe methods, no manual buffer management or pointer arithmetic was identified and the </t>
  </si>
  <si>
    <t>5.4.2</t>
  </si>
  <si>
    <t>Verify that format strings do not take potentially hostile input, and are constant.</t>
  </si>
  <si>
    <t>No evidence of unsafe format string usage was found in the codebase.</t>
  </si>
  <si>
    <t xml:space="preserve">This requirement is consiered valid because the application uses constant string messages throughout the codebase, no evidence of using user input in format strings, error messages and notification use fixed strings, no string interpolation or formatting with user-controlled values, String concatenation operations (where visible) don't involve format specifiersand </t>
  </si>
  <si>
    <t>5.4.3</t>
  </si>
  <si>
    <t>Verify that sign, range, and input validation techniques are used to prevent integer overflows.</t>
  </si>
  <si>
    <t>Limited evidence of integer handling was found in the provided code snippets.</t>
  </si>
  <si>
    <t>Based on the code, integer overflow protection is not evident.</t>
  </si>
  <si>
    <t xml:space="preserve">Deserialization Prevention </t>
  </si>
  <si>
    <t>5.5.1</t>
  </si>
  <si>
    <t>Verify that serialized objects use integrity checks or are encrypted to prevent hostile object creation or data tampering. ([C5](https://owasp.org/www-project-proactive-controls/#div-numbering))</t>
  </si>
  <si>
    <t>Limited evidence of object serialization was found in the provided code snippets.</t>
  </si>
  <si>
    <t>Based on the code, protection for serialized object is not evident.</t>
  </si>
  <si>
    <t>5.5.2</t>
  </si>
  <si>
    <t>Verify that the application correctly restricts XML parsers to only use the most restrictive configuration possible and to ensure that unsafe features such as resolving external entities are disabled to prevent XML eXternal Entity (XXE) attacks.</t>
  </si>
  <si>
    <t>No evidence of XML parsing was found in the codebase.</t>
  </si>
  <si>
    <t xml:space="preserve">This requirement is considered valid because the application does not use XML parsing or processing, no XML-related libraries or parsers were found in the codebase, the </t>
  </si>
  <si>
    <t>5.5.3</t>
  </si>
  <si>
    <t>Verify that deserialization of untrusted data is avoided or is protected in both custom code and third-party libraries (such as JSON, XML and YAML parsers).</t>
  </si>
  <si>
    <t>Limited evidence of deserialization operations in the provided code snippets.</t>
  </si>
  <si>
    <t>Based on the code available, deserialization protection is not evident.</t>
  </si>
  <si>
    <t>5.5.4</t>
  </si>
  <si>
    <t>Verify that when parsing JSON in browsers or JavaScript-based backends, JSON.parse is used to parse the JSON document. Do not use eval() to parse JSON.</t>
  </si>
  <si>
    <t>Frontend Javascript</t>
  </si>
  <si>
    <t xml:space="preserve">This requirement is considered valid because the Frontend uses axios for API requests, which automatically parses JSON safely, no instances of eval() for JSON parsing were found in any JavaScript code, the Backend uses ASP.NET Core's built-in JSON deserialization which is safe, </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</si>
  <si>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</si>
  <si>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</si>
  <si>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</si>
  <si>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</si>
  <si>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</si>
  <si>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</si>
  <si>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</si>
  <si>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</si>
  <si>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</si>
  <si>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</si>
  <si>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</si>
  <si>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</si>
  <si>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</si>
  <si>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</si>
  <si>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</si>
  <si>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</si>
  <si>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</si>
  <si>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</si>
  <si>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</si>
  <si>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</si>
  <si>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</si>
  <si>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</si>
  <si>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</si>
  <si>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</si>
  <si>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</si>
  <si>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</si>
  <si>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</si>
  <si>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</si>
  <si>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</si>
  <si>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</si>
  <si>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</si>
  <si>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</si>
  <si>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</si>
  <si>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</si>
  <si>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</si>
  <si>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</si>
  <si>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</si>
  <si>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 AccountController.cs lines 30-46
[HttpPost("login")]
[AllowAnonymous]
public async Task&lt;IActionResult&gt; Login([FromBody] LoginViewModel loginViewModel)
{
    if (ModelState.IsValid)
    {
        var result = await _signInManager.PasswordSignInAsync(loginViewModel.Email, loginViewModel.Password, loginViewModel.RememberMe, lockoutOnFailure: true);
        // No direct logging of credentials
    }
}</t>
  </si>
  <si>
    <t>The application doesn't explicitly log credentials or payment details in the code. Authentication is handled through ASP.NET Identity which doesn't log passwords by default. However, there's no structured logging strategy that defines what shouldn't be logged, and no explicit filtering or redaction of sensitive data in error scenarios. While not actively problematic, the application lacks safeguards against accidental logging of sensitive information</t>
  </si>
  <si>
    <t>Serilog or NLog with destructuring policies that redact sensitive information. Apply attributes or filters that prevent sensitive data from reaching logs. Use tools like grep or log analysis tools to scan logs for patterns indicating sensitive data leakage</t>
  </si>
  <si>
    <t>Verify that the application does not log other sensitive data as defined under local privacy laws or relevant security policy. ([C9](https://owasp.org/www-project-proactive-controls/#div-numbering))</t>
  </si>
  <si>
    <t>The application doesn't have a comprehensive logging strategy with consideration for privacy laws. There are no log sanitization mechanisms, no data classification to identify what should be excluded from logs, and no explicit handling of personally identifiable information in logging contexts. This creates risk of accidentally logging sensitive data in violation of privacy regulations</t>
  </si>
  <si>
    <t>Logging policy with Serilog's Destructuring or NLog's Layout Renderers to exclude/mask PII. Use custom LoggerProvider implementations that filter sensitive data before writing to logs. Scan logs with tools like Microsoft's Data Classification Service or custom regex patterns to detect PII</t>
  </si>
  <si>
    <t>7.1.3</t>
  </si>
  <si>
    <t>Verify that the application logs security relevant events including successful and failed authentication events, access control failures, deserialization failures and input validation failures. ([C5, C7](https://owasp.org/www-project-proactive-controls/#div-numbering))</t>
  </si>
  <si>
    <t>// AccountController.cs lines 41-57 (no explicit logging of auth failures)
if (result.IsLockedOut)
{
    return StatusCode(423, new { message = "Account locked" });
}
else
{
    return Unauthorized(new { message = "Invalid login attempt" });
}</t>
  </si>
  <si>
    <t>The application doesn't systematically log security events. Authentication failures, access control decisions, input validation failures, and other security-relevant events are handled but not logged. The application's default logging configuration in appsettings.json exists, but there's no implementation of security event logging throughout the codebase</t>
  </si>
  <si>
    <t>Comprehensive security logging with Application Insights or Serilog/NLog with security-focused log sinks. Add logging middleware that captures security events automatically. Use OWASP Security Logging library or similar frameworks to standardize security event logging</t>
  </si>
  <si>
    <t>7.1.4</t>
  </si>
  <si>
    <t>Verify that each log event includes necessary information that would allow for a detailed investigation of the timeline when an event happens. ([C9](https://owasp.org/www-project-proactive-controls/#div-numbering))</t>
  </si>
  <si>
    <t>// appsettings.json lines 2-6 (basic logging config only)
"Logging": {
    "LogLevel": {
        "Default": "Information",
        "Microsoft.AspNetCore": "Warning"
    }
}</t>
  </si>
  <si>
    <t>The application only has basic logging configuration without structured logging or detailed context. Log events don't consistently include user IDs, timestamps, operation details, or request identifiers that would enable timeline reconstruction during security investigations. There's no standardized logging format or context enrichment across the application</t>
  </si>
  <si>
    <t>Structured logging with Serilog or NLog with context enrichers that add user identity, request ID, IP address, and timestamps. Use correlation IDs with ASP.NET Core's TraceIdentifier to link related events. For validation, create log analysis dashboards with tools like Seq or Kibana</t>
  </si>
  <si>
    <t>Log Processing</t>
  </si>
  <si>
    <t>Verify that all authentication decisions are logged, without storing sensitive session identifiers or passwords. This should include requests with relevant metadata needed for security investigations.</t>
  </si>
  <si>
    <t>The application doesn't log authentication events. Successful and failed login attempts, signouts, and password changes aren't systematically logged. While the application handles these events correctly from a functional perspective, there's no audit trail of authentication activities that would be necessary for security monitoring and investigation</t>
  </si>
  <si>
    <t>Authentication event logging using ASP.NET Core Identity's SignInManager events or custom authentication middleware. Store logs securely in Application Insights or a SIEM system. Test with tools like Microsoft Sentinel or Splunk to verify log comprehensiveness</t>
  </si>
  <si>
    <t>7.2.2</t>
  </si>
  <si>
    <t>Verify that all access control decisions can be logged and all failed decisions are logged. This should include requests with relevant metadata needed for security investigations.</t>
  </si>
  <si>
    <t>// ProductController.cs lines 28-34 (access control without logging)
[HttpGet("{id}")]
public IActionResult GetProduct(int id)
{
    var product = _unitOfWork.Product.Get(p =&gt; p.Id == id &amp;&amp; !p.IsDeleted, "Composites.SubProduct");
    if (product == null)
    {
        return NotFound(new { message = "Product not found" });
    }
}</t>
  </si>
  <si>
    <t>The application implements access control through authorization attributes and explicit checks in controllers, but doesn't log these decisions. Failed access attempts return appropriate status codes but aren't recorded for security monitoring. There's no systematic logging of authorization decisions that would help detect potential security breaches</t>
  </si>
  <si>
    <t>Authorization logging middleware or filters that capture all access control decisions. Use policy-based authorization with IAuthorizationHandler implementations that include logging. Verify with log analysis tools like ELK Stack or Splunk to ensure comprehensive logging of access decisions</t>
  </si>
  <si>
    <t>Log Protection</t>
  </si>
  <si>
    <t>7.3.1</t>
  </si>
  <si>
    <t>Verify that all logging components appropriately encode data to prevent log injection. ([C9](https://owasp.org/www-project-proactive-controls/#div-numbering))</t>
  </si>
  <si>
    <t>The application doesn't have specific protections against log injection attacks. There's no evidence of log sanitization, encoding of user input before logging, or use of structured logging that would inherently protect against injection. This creates vulnerability to attacks where malicious user input could manipulate log records</t>
  </si>
  <si>
    <t>Structured logging with Serilog or NLog which inherently prevents most log injection attacks. Use logging libraries that escape special characters in log messages. Test with tools like OWASP ZAP or custom penetration testing scripts targeting logging mechanisms</t>
  </si>
  <si>
    <t>7.3.2</t>
  </si>
  <si>
    <t xml:space="preserve">[DELETED, DUPLICATE OF 7.3.1] </t>
  </si>
  <si>
    <t>7.3.3</t>
  </si>
  <si>
    <t>Verify that security logs are protected from unauthorized access and modification. ([C9](https://owasp.org/www-project-proactive-controls/#div-numbering))</t>
  </si>
  <si>
    <t>The application doesn't implement protection mechanisms for log files or logging infrastructure. There's no evidence of log integrity protection, access controls specific to logs, or secure log transmission. This leaves logs vulnerable to tampering or unauthorized access, which could compromise security investigations</t>
  </si>
  <si>
    <t>Tamper-evident logging with digital signatures or secure centralized logging with Syslog or a SIEM solution. Use file system ACLs or dedicated log management solutions that enforce access controls. Verify with security audit tools specific to log protection</t>
  </si>
  <si>
    <t>7.3.4</t>
  </si>
  <si>
    <t>Verify that time sources are synchronized to the correct time and time zone. Strongly consider logging only in UTC if systems are global to assist with post-incident forensic analysis. ([C9](https://owasp.org/www-project-proactive-controls/#div-numbering))</t>
  </si>
  <si>
    <t>The application doesn't address time synchronization or standardized time formats in logs. There's no configuration to ensure consistent time sources across services, no standardization on UTC, and no timestamp formatting policy. This could complicate incident response and forensic analysis if logs from different components have inconsistent timestamps</t>
  </si>
  <si>
    <t>NTP synchronization at the server level and standardize on UTC in logging configuration. Use logging frameworks that support automatic timestamp conversion and formatting. Verify time synchronization with monitoring tools that check for time drift</t>
  </si>
  <si>
    <t>Error Handling</t>
  </si>
  <si>
    <t>7.4.1</t>
  </si>
  <si>
    <t>Verify that a generic message is shown when an unexpected or security sensitive error occurs, potentially with a unique ID which support personnel can use to investigate. ([C10](https://owasp.org/www-project-proactive-controls/#div-numbering))</t>
  </si>
  <si>
    <t>// ProductController.cs lines 30-33 (example of good practice)
if (product == null)
{
    return NotFound(new { message = "Product not found" });
}</t>
  </si>
  <si>
    <t>The application generally returns appropriate error messages with status codes for expected failure scenarios. However, there's no consistent error handling strategy for unexpected exceptions, no custom error pages or middleware that would present a generic message to users while logging detailed information internally. The application lacks a global exception handler that would maintain security while providing useful feedback</t>
  </si>
  <si>
    <t>ASP.NET Core's Exception Handling Middleware with custom error pages. Use Problem Details standard (RFC 7807) for structured error responses. Test with tools like Postman or custom scripts that trigger various error conditions</t>
  </si>
  <si>
    <t>7.4.2</t>
  </si>
  <si>
    <t>Verify that exception handling (or a functional equivalent) is used across the codebase to account for expected and unexpected error conditions. ([C10](https://owasp.org/www-project-proactive-controls/#div-numbering))</t>
  </si>
  <si>
    <t>// AMAP/AMAP.Data/DbInitializer/DbInitializer.cs lines 31-39
try
{
    if (_db.Database.GetPendingMigrations().Count() &gt; 0)
    {
        _db.Database.Migrate();
    }
}
catch (Exception ex)
{
    // Logar ou tratar o erro conforme necessário
}</t>
  </si>
  <si>
    <t>The application has some exception handling in critical areas, but it's not consistently applied throughout the codebase. Many methods lack try-catch blocks, there's limited use of exception filters or middleware for handling exceptions, and no standardized approach to exception management. The DbInitializer example shows exception handling but with an empty catch block, which indicates incomplete implementation</t>
  </si>
  <si>
    <t>Global exception handling middleware, use exception filters for controller actions, and adopt a consistent try-catch pattern with proper logging. Use static analysis tools like Roslynator or SonarQube to identify areas lacking exception handling</t>
  </si>
  <si>
    <t>7.4.3</t>
  </si>
  <si>
    <t>Verify that a "last resort" error handler is defined which will catch all unhandled exceptions. ([C10](https://owasp.org/www-project-proactive-controls/#div-numbering))</t>
  </si>
  <si>
    <t>The application doesn't have a global or "last resort" error handler for unhandled exceptions. There's no UseExceptionHandler middleware configured in Program.cs, no custom error page for unexpected errors, and no mechanism to ensure all unhandled exceptions are logged while presenting a sanitized message to users. This omission could lead to detailed stack traces being exposed to users when unexpected errors occur</t>
  </si>
  <si>
    <t>ASP.NET Core's UseExceptionHandler middleware in Program.cs, create custom error pages for different error scenarios, and configure development vs. production error handling. Test with deliberate exceptions to verify that the last-resort handler catches all unhandled exceptions</t>
  </si>
  <si>
    <t>General Data Protection</t>
  </si>
  <si>
    <t>8.1.1</t>
  </si>
  <si>
    <t>Verify the application protects sensitive data from being cached in server components such as load balancers and application caches.</t>
  </si>
  <si>
    <t>The application lacks explicit measures to protect sensitive data from caching in server components like load balancers or application caches. There are no cache control directives for sensitive API responses or implementation of cache control attributes on controller methods. Server-side caching strategies that consider data sensitivity are absent, which could lead to unauthorized access to cached sensitive data</t>
  </si>
  <si>
    <t>ASP.NET Core's ResponseCacheAttribute with appropriate no-store settings for sensitive controllers/actions. Implement cache control headers with Microsoft.AspNetCore.Mvc.ResponseCacheAttribute or directly with HttpContext.Response.Headers. Tools like Fiddler or Charles Proxy can help verify cache headers</t>
  </si>
  <si>
    <t>8.1.2</t>
  </si>
  <si>
    <t>Verify that all cached or temporary copies of sensitive data stored on the server are protected from unauthorized access or purged/invalidated after the authorized user accesses the sensitive data.</t>
  </si>
  <si>
    <t>The application doesn't implement mechanisms to ensure temporary copies of sensitive data are protected or purged. There is no code handling invalidation of cached sensitive information after authorized access, nor access controls on temporary storage. No cleanup routines for sensitive data in memory or temporary storage locations are evident</t>
  </si>
  <si>
    <t>IMemoryCache with appropriate expiration policies, use SecureString for sensitive data in memory, and create explicit cleanup routines. For validation, tools like dotMemory or ANTS Memory Profiler can help identify lingering sensitive data</t>
  </si>
  <si>
    <t>8.1.3</t>
  </si>
  <si>
    <t>Verify the application minimizes the number of parameters in a request, such as hidden fields, Ajax variables, cookies and header values.</t>
  </si>
  <si>
    <t>// ProductController.cs - Example of good practice with minimal parameters
[HttpGet("{id}")]
public IActionResult GetProduct(int id)
{
    var product = _unitOfWork.Product.Get(p =&gt; p.Id == id &amp;&amp; !p.IsDeleted, "Composites.SubProduct");
    // ...
}</t>
  </si>
  <si>
    <t>The application generally uses concise models for data transfer, with controllers accepting minimal parameters where possible. However, there's no consistent strategy to minimize parameters across all endpoints. Some endpoints may include more parameters than necessary, and there's no apparent review process to ensure minimal data transfer. The codebase would benefit from standardizing on concise parameter patterns</t>
  </si>
  <si>
    <t>DTOs (Data Transfer Objects) consistently to control parameter exposure. Use custom model binders or JsonIgnore attributes to limit serialized parameters. Tools like Swagger/OpenAPI can document and analyze API surface exposure</t>
  </si>
  <si>
    <t>8.1.4</t>
  </si>
  <si>
    <t>Verify the application can detect and alert on abnormal numbers of requests, such as by IP, user, total per hour or day, or whatever makes sense for the application.</t>
  </si>
  <si>
    <t>The application has no request rate monitoring, throttling, or detection mechanisms for abnormal traffic patterns. There are no implemented controls to detect or alert on unusual numbers of requests by IP, user, or time period. This leaves the application vulnerable to brute force, DoS attacks, and unusual usage patterns that might indicate security issues</t>
  </si>
  <si>
    <t>Rate limiting with AspNetCoreRateLimit package, request throttling middleware, or Azure API Management policies. For monitoring and alerting, consider Application Insights with custom metrics and alerts, or specialized security tools like OWASP ModSecurity Core Rule Set</t>
  </si>
  <si>
    <t>8.1.5</t>
  </si>
  <si>
    <t>Verify that regular backups of important data are performed and that test restoration of data is performed.</t>
  </si>
  <si>
    <t>The application code doesn't include any backup mechanisms, scheduling, or verification processes. There are no backup services, jobs, or utilities implemented within the codebase. While database backups might be handled at the infrastructure level, there's no application-level confirmation or verification of these processes</t>
  </si>
  <si>
    <t>Scheduled backups using Quartz.NET or Hangfire for job scheduling. Use SQL Server backup commands within a service, or implement custom backup logic. For validation, create automated tests that verify restoration capability and data integrity</t>
  </si>
  <si>
    <t>8.1.6</t>
  </si>
  <si>
    <t>Verify that backups are stored securely to prevent data from being stolen or corrupted.</t>
  </si>
  <si>
    <t>The application doesn't implement any backup security measures. There's no encryption for backup data, no access controls specific to backups, and no integrity validation for backup files. Security considerations for backup storage are entirely absent from the codebase</t>
  </si>
  <si>
    <t>Encryption for backups using libraries like Azure Storage Client with encryption, or BouncyCastle for custom encryption. Use secure storage services like Azure Blob Storage with access policies. For validation, tools like Azure Security Center or custom security auditing scripts could verify backup security</t>
  </si>
  <si>
    <t>Client-side Data Protection</t>
  </si>
  <si>
    <t>8.2.1</t>
  </si>
  <si>
    <t>Verify the application sets sufficient anti-caching headers so that sensitive data is not cached in modern browsers.</t>
  </si>
  <si>
    <t>The application doesn't consistently set anti-caching headers for responses containing sensitive data. There are no cache control headers, pragma directives, or expires headers applied to API responses. This could lead to browsers caching sensitive information, making it accessible to unauthorized users with access to the same device</t>
  </si>
  <si>
    <t>Cache control headers using ResponseCacheAttribute or middleware that adds appropriate headers (Cache-Control: no-store, no-cache, must-revalidate, max-age=0; Pragma: no-cache; Expires: 0). Verify with browser developer tools or Fiddler to ensure proper headers are set</t>
  </si>
  <si>
    <t>8.2.2</t>
  </si>
  <si>
    <t xml:space="preserve"> Verify that data stored in browser storage (such as localStorage, sessionStorage, IndexedDB, or cookies) does not contain sensitive data.</t>
  </si>
  <si>
    <t>// amap-ui/src/pages/LoginSignUp.js lines 26-32
localStorage.setItem('userType', role);
localStorage.setItem('userId', userId);</t>
  </si>
  <si>
    <t>The application stores user identifiers in localStorage, which is not secure for sensitive data. User IDs could be considered sensitive as they can be used for identification. Additionally, there's no clear policy on what client-side storage can or cannot contain, and no encryption for any data stored in browser storage</t>
  </si>
  <si>
    <t>We could replace localStorage with sessionStorage for authentication tokens and implement cookie-based authentication with secure and HTTPOnly flags. For any client-side data persistence needs, encrypt sensitive data before storing. Use tools like OWASP ZAP or browser security extensions to audit client-side storage</t>
  </si>
  <si>
    <t>8.2.3</t>
  </si>
  <si>
    <t>Verify that authenticated data is cleared from client storage, such as the browser DOM, after the client or session is terminated.</t>
  </si>
  <si>
    <t>The application does not implement proper cleanup of authenticated data when sessions terminate. There's no logout handler that clears localStorage or sessionStorage, and no code to ensure DOM cleanup after authentication state changes. This could leave sensitive data in the browser even after a user logs out</t>
  </si>
  <si>
    <t>Proper logout functionality that clears all client-side storage (localStorage.clear(), sessionStorage.clear()) and implement cookie expiration. For frameworks, use proper authentication state management like React Context API with cleanup on logout</t>
  </si>
  <si>
    <t>Sensitive Private Data</t>
  </si>
  <si>
    <t>8.3.1</t>
  </si>
  <si>
    <t>Verify that sensitive data is sent to the server in the HTTP message body or headers, and that query string parameters from any HTTP verb do not contain sensitive data.</t>
  </si>
  <si>
    <t>// AccountController.cs lines 30-37
[HttpPost("login")]
[AllowAnonymous]
public async Task&lt;IActionResult&gt; Login([FromBody] LoginViewModel loginViewModel)
{
    // Credentials passed in body, not URL
}</t>
  </si>
  <si>
    <t>For authentication, the application properly uses HTTP POST with body parameters rather than query strings. However, there's no consistent protection across all endpoints to prevent sensitive data in query strings. No specific validation exists to ensure all sensitive operations use body parameters instead of query parameters</t>
  </si>
  <si>
    <t>[FromBody] attribute consistently for all sensitive data transfers, implement API gateway filtering or middleware that rejects sensitive parameters in query strings. Tools like Fiddler or OWASP ZAP can analyze request patterns to identify sensitive data in query strings</t>
  </si>
  <si>
    <t>8.3.2</t>
  </si>
  <si>
    <t>Verify that users have a method to remove or export their data on demand.</t>
  </si>
  <si>
    <t>The application doesn't provide functionality for users to export or delete their personal data. There are no endpoints or services dedicated to data portability or account deletion. This is a significant gap for GDPR and other privacy regulation compliance</t>
  </si>
  <si>
    <t>Implement dedicated controllers/endpoints for data export (providing user data in machine-readable format) and account deletion. Create services that can gather all user-related data across tables. Test with tools like Postman collections that validate the completeness of exported data</t>
  </si>
  <si>
    <t>8.3.3</t>
  </si>
  <si>
    <t>Verify that users are provided clear language regarding collection and use of supplied personal information and that users have provided opt-in consent for the use of that data before it is used in any way.</t>
  </si>
  <si>
    <t>The application has no consent management system, privacy notifications, or opt-in mechanisms. There's no evidence of privacy policy presentation to users or consent tracking in the database. The application does not comply with modern privacy regulations that require explicit consent</t>
  </si>
  <si>
    <t>Consent management system with dedicated models for storing user consent. Create UI components for privacy notices and consent gathering. For validation, tools like Cookie Consent Management platforms or custom audit logs can track consent collection</t>
  </si>
  <si>
    <t>8.3.4</t>
  </si>
  <si>
    <t>Verify that all sensitive data created and processed by the application has been identified, and ensure that a policy is in place on how to deal with sensitive data. ([C8](https://owasp.org/www-project-proactive-controls/#div-numbering))</t>
  </si>
  <si>
    <t>The application lacks data classification, sensitivity tagging, or explicit policies on handling different types of data. There are no annotations or markers identifying which fields contain sensitive information, and no code-level enforcement of handling policies for different data sensitivity levels</t>
  </si>
  <si>
    <t>Data annotations or attributes that mark sensitive fields, create a data classification service that enforces handling policies based on classifications. Use static analysis tools like SonarQube with custom rules to detect potential mishandling of marked sensitive data</t>
  </si>
  <si>
    <t>8.3.5</t>
  </si>
  <si>
    <t>Verify accessing sensitive data is audited (without logging the sensitive data itself), if the data is collected under relevant data protection directives or where logging of access is required.</t>
  </si>
  <si>
    <t>The application has no comprehensive audit logging system for sensitive data access. There are no audit trails recording when sensitive information is viewed, modified, or deleted. Without this auditing, the application cannot detect or investigate potential data breaches or unauthorized access</t>
  </si>
  <si>
    <t>AuditTrail middleware or aspect-oriented programming approaches with PostSharp to automatically log access to sensitive controllers/actions. Use tools like Application Insights or Serilog with structured logging to create queryable audit trails</t>
  </si>
  <si>
    <t>8.3.6</t>
  </si>
  <si>
    <t>Verify that sensitive information contained in memory is overwritten as soon as it is no longer required to mitigate memory dumping attacks, using zeroes or random data.</t>
  </si>
  <si>
    <t>The application doesn't implement memory sanitization for sensitive data. There's no use of SecureString for storing passwords or encryption keys, and no explicit overwriting of memory containing sensitive data after use. This creates vulnerability to memory dump attacks</t>
  </si>
  <si>
    <t>SecureString for passwords and encryption keys, implement explicit memory clearing with Array.Clear() or Buffer.BlockCopy() to overwrite sensitive data when no longer needed. Tools like dotMemory can help detect sensitive data remnants in memory after operations complete</t>
  </si>
  <si>
    <t>8.3.7</t>
  </si>
  <si>
    <t>Verify that sensitive or private information that is required to be encrypted, is encrypted using approved algorithms that provide both confidentiality and integrity. ([C8](https://owasp.org/www-project-proactive-controls/#div-numbering))</t>
  </si>
  <si>
    <t>The application doesn't implement encryption for sensitive data at rest or in transit beyond HTTPS. Database connection strings have encryption explicitly disabled with "Encrypt=False". There's no use of cryptographic libraries for field-level encryption of sensitive data, leaving PII and other sensitive information vulnerable</t>
  </si>
  <si>
    <t>Data protection using ASP.NET Core Data Protection APIs, use EF Core value converters for transparent field-level encryption, and enable SQL Server Transparent Data Encryption. For validation, use tools like OWASP Dependency Check to verify cryptographic libraries and OWASP ZAP to test encrypted communications</t>
  </si>
  <si>
    <t>8.3.8</t>
  </si>
  <si>
    <t>Verify that sensitive personal information is subject to data retention classification, such that old or out of date data is deleted automatically, on a schedule, or as the situation requires.</t>
  </si>
  <si>
    <t>The application has no data retention policies or automatic purging of outdated personal information. There are no scheduled jobs to anonymize or delete old data, and no classification system to determine retention periods for different types of data. This creates compliance issues with privacy regulations that require limiting data retention</t>
  </si>
  <si>
    <t>Data retention service with scheduled jobs using Quartz.NET or Hangfire, create data classification attributes that specify retention periods, and develop purging or anonymization routines. Create audit reports using custom queries or Power BI to verify compliance with retention policies</t>
  </si>
  <si>
    <t xml:space="preserve">Client Communications Security </t>
  </si>
  <si>
    <t>9.1.1</t>
  </si>
  <si>
    <t>Verify that TLS is used for all client connectivity, and does not fall back to insecure or unencrypted communications. ([C8](https://owasp.org/www-project-proactive-controls/#div-numbering))</t>
  </si>
  <si>
    <t>// Program.cs line 131
app.UseHttpsRedirection();
// Program.cs lines 67-70 (Development environment configuration)
if (builder.Environment.IsDevelopment())
{
    options.Cookie.SecurePolicy = CookieSecurePolicy.None; // Permitir HTTP
    options.Cookie.SameSite = SameSiteMode.None; // Permitir cross-origin
}
// Program.cs lines 99-101 (Session cookie configuration)
options.Cookie.HttpOnly = true;
options.Cookie.IsEssential = true;
options.Cookie.SecurePolicy = CookieSecurePolicy.None; // Permitir envio em HTTP</t>
  </si>
  <si>
    <t>The application implements HTTPS redirection but has critical flaws that allow fallback to insecure communications. While web traffic uses HTTPS through UseHttpsRedirection(), the session cookie settings explicitly allow insecure transport with SecurePolicy=None. Development environment settings disable secure cookies, but there's no guarantee these won't be carried into production. Additionally, there's no HTTP Strict Transport Security (HSTS) implementation to prevent downgrade attacks. The application requires a consistent security policy that enforces encrypted communications across all client connectivity without exceptions</t>
  </si>
  <si>
    <t>ASP.NET Core's HSTS middleware with app.UseHsts() in Program.cs for production environments. Set all cookies to require HTTPS with SecurePolicy=Always. Use Qualys SSL Labs or OWASP ZAP to test for TLS implementation issues and potential downgrade vulnerabilities. Configure Content-Security-Policy headers to enforce HTTPS for all resources. For comprehensive inspection, tools like Burp Suite can verify that all client communications remain encrypted without fallback options</t>
  </si>
  <si>
    <t>9.1.2</t>
  </si>
  <si>
    <t>Verify using up to date TLS testing tools that only strong cipher suites are enabled, with the strongest cipher suites set as preferred.</t>
  </si>
  <si>
    <t>The application does not specify or restrict cipher suites. Default cipher suites from ASP.NET Core are used without customization, which may include weak or deprecated options. Strong cipher suites should be explicitly configured to ensure proper security. Configuration should be added to enforce modern cipher suites like TLS_ECDHE_RSA_WITH_AES_256_GCM_SHA384 and disable weak ones like those using RC4, 3DES</t>
  </si>
  <si>
    <t>For implementation, use could Qualys SSL Labs Server Test for validation, and add configuration through ASP.NET Core's HttpsConnectionAdapterOptions in Program.cs. Additionally, IIS Crypto or Windows Server TLS configuration through registry or group policy can be used for underlying server configuration.</t>
  </si>
  <si>
    <t>9.1.3</t>
  </si>
  <si>
    <t>Verify that only the latest recommended versions of the TLS protocol are enabled, such as TLS 1.2 and TLS 1.3. The latest version of the TLS protocol should be the preferred option.</t>
  </si>
  <si>
    <t>No explicit TLS version configuration exists in the codebase. The application relies on platform defaults which may include older TLS versions. The application should be updated to explicitly require TLS 1.2 and 1.3 while disabling TLS 1.0 and 1.1. This ensures secure communication and prevents downgrade attacks.</t>
  </si>
  <si>
    <t> ServicePointManager.SecurityProtocol can be configured in code, or HttpClient configuration for outbound calls. Server-side configuration should use Kestrel HTTPS configuration. For testing and validation, use Nmap SSL-enum-ciphers, Qualys SSL Labs, or TestSSLServer</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</si>
  <si>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</si>
  <si>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</si>
  <si>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</si>
  <si>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The application lacks certificate validation logic. In development, it uses automatically generated certificates without validation controls. For production, there is no code to handle certificate trust verification, pinning, or custom trust management. Implementation should include explicit certificate validation and proper certificate trust configuration.</t>
  </si>
  <si>
    <t>X509Certificate2 validation can be implemented with custom validation callbacks in HttpClientHandler. For server certificates, we could use ASP.NET Core's certificate configuration in Program.cs. Certificate validation can be tested with tools like OpenSSL or specialized security scanners like Burp Suite.</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</si>
  <si>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</si>
  <si>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</si>
  <si>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 Program.cs line 131
app.UseHttpsRedirection();
// Connection String in appsettings.json line 28
"DefaultConnection": "Data Source=DIOGO\\SQLEXPRESS;Initial Catalog=AMAP_DB;Integrated Security=True;Encrypt=False;"
// EmailSender.cs line 36
EnableSsl = true</t>
  </si>
  <si>
    <t>The application has inconsistent encryption across different connections. While HTTPS is enforced for web traffic through UseHttpsRedirection() and email communication uses EnableSsl=true, database connections explicitly disable encryption with Encrypt=False. All connections should use encryption, including database connections, to ensure comprehensive security</t>
  </si>
  <si>
    <t>SQL Server connection strings with Encrypt=True, ensure HTTPS for all outbound HttpClient calls, and configure TLS for all service connections. OWASP ZAP or Burp Suite can scan for unencrypted connections</t>
  </si>
  <si>
    <t>9.2.3</t>
  </si>
  <si>
    <t>Verify that all encrypted connections to external systems that involve sensitive information or functions are authenticated.</t>
  </si>
  <si>
    <t>// EmailSender.cs lines 35-36
Credentials = new NetworkCredential(_username, _password),
EnableSsl = true
// Program.cs line 34
builder.Services.AddIdentity&lt;AppUser, IdentityRole&gt;()
    .AddEntityFrameworkStores&lt;AppDbContext&gt;()
    .AddDefaultTokenProviders();</t>
  </si>
  <si>
    <t>Basic authentication is implemented for some external connections. Email service uses credential-based authentication with SSL, and API endpoints are secured with ASP.NET Identity. However, there's no comprehensive authentication strategy for all external services, no client certificate authentication, and no API key validation for third-party services</t>
  </si>
  <si>
    <t>mutual TLS (mTLS) authentication, OAuth 2.0 for API authentication, and credential management tools like Azure Key Vault or AWS Secrets Manager for secure credential storage</t>
  </si>
  <si>
    <t>9.2.4</t>
  </si>
  <si>
    <t>Verify that proper certification revocation, such as Online Certificate Status Protocol (OCSP) Stapling, is enabled and configured.</t>
  </si>
  <si>
    <t>The application has no certificate revocation checking mechanisms. It doesn't implement or configure OCSP Stapling, CRL checking, or any method to verify that certificates haven't been revoked. This is a significant security gap that could allow connections with compromised certificates</t>
  </si>
  <si>
    <t>For ASP.NET Core, we could configure HttpClientHandler with CheckCertificateRevocationList=true for outbound connections. For server configuration, implement OCSP Stapling in Kestrel or IIS. OpenSSL can be used to test certificate revocation status</t>
  </si>
  <si>
    <t>9.2.5</t>
  </si>
  <si>
    <t>Verify that backend TLS connection failures are logged.</t>
  </si>
  <si>
    <t>// appsettings.json lines 2-6
"Logging": {
    "LogLevel": {
        "Default": "Information",
        "Microsoft.AspNetCore": "Warning"
    }
}</t>
  </si>
  <si>
    <t>While basic logging is configured, there is no specific logging for TLS failures. The application doesn't capture or log certificate errors, TLS handshake failures, or protocol errors. Comprehensive logging of TLS issues is essential for identifying security problems and troubleshooting connection issues</t>
  </si>
  <si>
    <t>Serilog or NLog with specific loggers for TLS/SSL errors. We could configure Microsoft.Extensions.Logging to capture Security and Authentication events. For monitoring, consider integrating with Application Insights or a SIEM solution for security event tracking</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</si>
  <si>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</si>
  <si>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</si>
  <si>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</si>
  <si>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</si>
  <si>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</si>
  <si>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</si>
  <si>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</si>
  <si>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</si>
  <si>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</si>
  <si>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</si>
  <si>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</si>
  <si>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</si>
  <si>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</si>
  <si>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</si>
  <si>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</si>
  <si>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</si>
  <si>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</si>
  <si>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</si>
  <si>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</si>
  <si>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</si>
  <si>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</si>
  <si>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</si>
  <si>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</si>
  <si>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</si>
  <si>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</si>
  <si>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</si>
  <si>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</si>
  <si>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</si>
  <si>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</si>
  <si>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</si>
  <si>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</si>
  <si>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</si>
  <si>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</si>
  <si>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</si>
  <si>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</si>
  <si>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</si>
  <si>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</si>
  <si>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</si>
  <si>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</si>
  <si>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</si>
  <si>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</si>
  <si>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</si>
  <si>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</si>
  <si>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</si>
  <si>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</si>
  <si>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</si>
  <si>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</si>
  <si>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</si>
  <si>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</si>
  <si>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</si>
  <si>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</si>
  <si>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</si>
  <si>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</si>
  <si>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</si>
  <si>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</si>
  <si>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</si>
  <si>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</si>
  <si>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</si>
  <si>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</si>
  <si>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</si>
  <si>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</si>
  <si>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</si>
  <si>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</si>
  <si>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</si>
  <si>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</si>
  <si>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</si>
  <si>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</si>
  <si>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</si>
  <si>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</si>
  <si>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</si>
  <si>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</si>
  <si>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</si>
  <si>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</si>
  <si>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</si>
  <si>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</si>
  <si>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</si>
  <si>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</si>
  <si>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</si>
  <si>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</si>
  <si>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</si>
  <si>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</si>
  <si>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</si>
  <si>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</si>
  <si>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</si>
  <si>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</si>
  <si>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</si>
  <si>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</si>
  <si>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</si>
  <si>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</si>
  <si>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</si>
  <si>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</si>
  <si>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</si>
  <si>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</si>
  <si>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</si>
  <si>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</si>
  <si>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</si>
  <si>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</si>
  <si>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</si>
  <si>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</si>
  <si>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</si>
  <si>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</si>
  <si>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</si>
  <si>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</si>
  <si>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</si>
  <si>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</si>
  <si>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</si>
  <si>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</si>
  <si>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</si>
  <si>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</si>
  <si>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</si>
  <si>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</si>
  <si>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</si>
  <si>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</si>
  <si>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The application has a basic project structure suitable for CI/CD, but there's no evidence of automated build and deployment processes in the repository. No GitHub Actions, Azure DevOps pipelines, or other CI/CD configuration files were found. The solution is organized in a way that would support automation, but the actual implementation of secure, repeatable builds is missing</t>
  </si>
  <si>
    <t>GitHub Actions or Azure DevOps pipelines for CI/CD automation. Use Docker for containerization and tools like Terraform or Azure Resource Manager templates for infrastructure as code. For validation, GitHub Actions status checks or Azure DevOps build reports can verify build integrity</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</si>
  <si>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</si>
  <si>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</si>
  <si>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&lt;!-- AMAP.Api.csproj lines 1-7 (no specific compiler flags) --&gt;
&lt;Project Sdk="Microsoft.NET.Sdk.Web"&gt;
  &lt;PropertyGroup&gt;
    &lt;TargetFramework&gt;net9.0&lt;/TargetFramework&gt;
    &lt;Nullable&gt;enable&lt;/Nullable&gt;
    &lt;ImplicitUsings&gt;enable&lt;/ImplicitUsings&gt;
    &lt;UserSecretsId&gt;2399dae3-8ae7-46c0-9bd6-806ab88f52f5&lt;/UserSecretsId&gt;
  &lt;/PropertyGroup&gt;</t>
  </si>
  <si>
    <t>The .NET project files don't specify any compiler flags for buffer overflow protection or additional code safety checks. While .NET provides some memory safety by default, the project doesn't enable additional compiler warnings or flags that could detect potential security issues at compile time. The Nullable enable flag is a good practice that helps prevent null reference exceptions, but it's not sufficient for comprehensive protection</t>
  </si>
  <si>
    <t> Additional compiler flags in MSBuild with WarningsAsErrors, CodeAnalysisRuleSet properties. Use .editorconfig files to enforce coding standards. Enable Static Code Analysis and configure Security Code Scan or other analyzers in the CI pipeline</t>
  </si>
  <si>
    <t>14.1.3</t>
  </si>
  <si>
    <t>Verify that server configuration is hardened as per the recommendations of the application server and frameworks in use.</t>
  </si>
  <si>
    <t>// Program.cs lines 126-131 (minimal hardening)
if (app.Environment.IsDevelopment())
{
    app.UseSwagger();
    app.UseSwaggerUI();
}
app.UseCors("AllowFrontend");
app.UseHttpsRedirection();</t>
  </si>
  <si>
    <t>The application has minimal server hardening. While it includes basic security measures like HTTPS redirection and proper handling of development vs. production environments, it lacks comprehensive hardening configurations. There's no evidence of security headers, no timeout configurations, no rate limiting, and no explicit hardening of the underlying server infrastructure</t>
  </si>
  <si>
    <t>Security headers middleware (NWebsec), configure Kestrel with appropriate timeouts and limits, and use Microsoft Azure App Service security recommendations or similar for the hosting environment. Validate with tools like SecurityHeaders.com or OWASP ZAP's baseline scan</t>
  </si>
  <si>
    <t>14.1.4</t>
  </si>
  <si>
    <t>Verify that the application, configuration, and all dependencies can be re-deployed using automated deployment scripts, built from a documented and tested runbook in a reasonable time, or restored from backups in a timely fashion.</t>
  </si>
  <si>
    <t>The application doesn't include deployment scripts, runbooks, or automated recovery procedures. There's no documented process for deployment or restoration from backups. The lack of automation for deployment increases the risk of configuration errors and inconsistency between environments</t>
  </si>
  <si>
    <t>Deployment scripts using PowerShell, Bash, or Azure CLI. Implement infrastructure as code with Terraform or ARM templates. Document the runbook in Markdown files within the repository. For validation, conduct periodic recovery drills and measure recovery time</t>
  </si>
  <si>
    <t>14.1.5</t>
  </si>
  <si>
    <t>Verify that authorized administrators can verify the integrity of all security-relevant configurations to detect tampering.</t>
  </si>
  <si>
    <t>The application doesn't provide mechanisms for administrators to verify configuration integrity. There are no checksum validations, configuration auditing tools, or tamper detection for critical configuration files. This makes it difficult to detect unauthorized changes to security settings</t>
  </si>
  <si>
    <t>Configuration checksums, use Git for version control of configurations, or implement a Configuration Management Database (CMDB). For validation, use tools like Tripwire or custom PowerShell scripts that verify file integrity</t>
  </si>
  <si>
    <t>Dependency</t>
  </si>
  <si>
    <t>14.2.1</t>
  </si>
  <si>
    <t>Verify that all components are up to date, preferably using a dependency checker during build or compile time. ([C2](https://owasp.org/www-project-proactive-controls/#div-numbering))</t>
  </si>
  <si>
    <t>&lt;!-- AMAP.Api.csproj lines 10-24 (dependencies without version checking) --&gt;
&lt;ItemGroup&gt;
  &lt;PackageReference Include="Microsoft.AspNetCore.Authentication.JwtBearer" Version="9.0.4" /&gt;
  &lt;PackageReference Include="Microsoft.AspNetCore.Cors" Version="2.2.0" /&gt;
  &lt;PackageReference Include="Microsoft.AspNetCore.Identity.EntityFrameworkCore" Version="9.0.4" /&gt;
  &lt;PackageReference Include="Microsoft.EntityFrameworkCore" Version="9.0.4" /&gt;
  &lt;!-- Additional dependencies --&gt;
&lt;/ItemGroup&gt;</t>
  </si>
  <si>
    <t>The application uses NuGet packages with specific versions, but there's no automated dependency checking to ensure these are the latest secure versions. No dependency scanning tools are integrated into the build process to identify vulnerabilities in dependencies. While the current dependency versions appear recent, there's no systematic process to keep them updated</t>
  </si>
  <si>
    <t>OWASP Dependency-Check, Snyk, or WhiteSource into the CI/CD pipeline. Configure dependabot for GitHub repositories to automatically suggest dependency updates. Use Visual Studio's built-in security vulnerability detection or NuGet Package Explorer to audit dependencies</t>
  </si>
  <si>
    <t>14.2.2</t>
  </si>
  <si>
    <t xml:space="preserve"> Verify that all unneeded features, documentation, sample applications and configurations are removed.</t>
  </si>
  <si>
    <t>The application contains commented-out code, unused authentication configuration, and potentially unnecessary dependencies. There's no evidence of a clean production build process that removes development artifacts. The presence of Swagger in production depends on the environment variable, but there's no systematic removal of other development features</t>
  </si>
  <si>
    <t>Build profiles that strip out debugging information and development dependencies. Use .gitignore to prevent committing development artifacts. Create deployment scripts that generate clean production builds. For validation, scan production deployments with security tools to detect unnecessary components</t>
  </si>
  <si>
    <t>14.2.3</t>
  </si>
  <si>
    <t>Verify that if application assets, such as JavaScript libraries, CSS stylesheets or web fonts, are hosted externally on a content delivery network (CDN) or external provider, Subresource Integrity (SRI) is used to validate the integrity of the asset.</t>
  </si>
  <si>
    <t>The application doesn't implement Subresource Integrity for external assets. There's no evidence of integrity attributes on script or stylesheet tags for CDN resources. This omission allows potential tampering with external resources that could lead to script injection attacks</t>
  </si>
  <si>
    <t>SRI hashes using online SRI generators or npm sri packages. Add integrity attributes to all external resource references. Validate with browser developer tools or automated scanners that check for SRI attributes on external resources</t>
  </si>
  <si>
    <t>14.2.4</t>
  </si>
  <si>
    <t>Verify that third party components come from pre-defined, trusted and continually maintained repositories. ([C2](https://owasp.org/www-project-proactive-controls/#div-numbering))</t>
  </si>
  <si>
    <t>&lt;!-- AMAP.Api.csproj lines 10-24 (standard NuGet packages) --&gt;
&lt;ItemGroup&gt;
  &lt;PackageReference Include="Microsoft.AspNetCore.Authentication.JwtBearer" Version="9.0.4" /&gt;
  &lt;!-- Other standard packages --&gt;
&lt;/ItemGroup&gt;</t>
  </si>
  <si>
    <t>The application uses standard NuGet packages primarily from Microsoft, which is a trusted source. However, there's no explicit policy or configuration regarding package sources, no NuGet.config file specifying trusted repositories, and no validation of package signatures. While the current practice is reasonable, there are no safeguards against future addition of packages from untrusted sources</t>
  </si>
  <si>
    <t>NuGet.config file that specifies trusted package sources. Implement package signature verification with NuGet trusted signers. For non-.NET dependencies, use tools like npm audit or Yarn's integrity checking. Validate with dependency governance tools like WhiteSource</t>
  </si>
  <si>
    <t>14.2.5</t>
  </si>
  <si>
    <t>Verify that a Software Bill of Materials (SBOM) is maintained of all third party libraries in use. ([C2](https://owasp.org/www-project-proactive-controls/#div-numbering))</t>
  </si>
  <si>
    <t>The application doesn't maintain a Software Bill of Materials for third-party dependencies. There's no manifest listing all dependencies, their versions, licenses, and potential vulnerabilities. This lack of a comprehensive inventory makes it difficult to assess security risks or compliance issues with the application's dependencies</t>
  </si>
  <si>
    <t>SBOMs using CycloneDX, SPDX format generators, or Microsoft's SBOM Tool. Automate SBOM generation in the CI/CD pipeline. Store SBOMs in a version-controlled location alongside releases. Validate with SBOM validators or viewers that can parse and verify the generated document</t>
  </si>
  <si>
    <t>14.2.6</t>
  </si>
  <si>
    <t>Verify that the attack surface is reduced by sandboxing or encapsulating third party libraries to expose only the required behaviour into the application. ([C2](https://owasp.org/www-project-proactive-controls/#div-numbering))</t>
  </si>
  <si>
    <t>The application doesn't implement sandboxing or encapsulation of third-party libraries. There's no evidence of adapters or facades that limit the exposure of third-party functionality, no containerization of components, and no use of permission boundaries for external code. Libraries are directly referenced and used throughout the codebase</t>
  </si>
  <si>
    <t>Adapter pattern or Repository pattern to abstract third-party libraries. Use Docker containers to isolate components with different trust levels. Consider NuGet's source linking capabilities for safer dependency usage. Validate with security scanning tools that can identify excessive permission patterns</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</si>
  <si>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</si>
  <si>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</si>
  <si>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</si>
  <si>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</si>
  <si>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</si>
  <si>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 Program.cs lines 126-130
if (app.Environment.IsDevelopment())
{
    app.UseSwagger();
    app.UseSwaggerUI();
}</t>
  </si>
  <si>
    <t>The application correctly configures debug features to be available only in the development environment. Swagger UI, which could expose sensitive API information, is only enabled in development mode. The environment-based configuration is properly implemented, preventing debug information disclosure in production</t>
  </si>
  <si>
    <t>We should continue using environment-based configuration with IsDevelopment() checks. Consider additional preprocessor directives for debug code. For validation, use penetration testing tools like OWASP ZAP to verify that development features aren't accessible in production</t>
  </si>
  <si>
    <t>14.3.3</t>
  </si>
  <si>
    <t>Verify that the HTTP headers or any part of the HTTP response do not expose detailed version information of system components.</t>
  </si>
  <si>
    <t>The application doesn't take measures to hide version information in HTTP headers. There's no custom server header configuration, no suppression of default version headers, and no headers policy to prevent framework version disclosure. This could help attackers identify vulnerable components based on version numbers</t>
  </si>
  <si>
    <t>Custom middleware to remove or modify Server headers. Configure web server settings to disable version headers (UseHsts, UseResponseCompression with appropriate options). Validate with tools like securityheaders.com or manual header inspection</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</si>
  <si>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</si>
  <si>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</si>
  <si>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</si>
  <si>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 ProductController.cs lines 28-41 (implicit Content-Type)
[HttpGet("{id}")]
public IActionResult GetProduct(int id)
{
    // ...
    return Ok(new
    {
        product.Id,
        product.Name,
        // ...
    });
}</t>
  </si>
  <si>
    <t>The application implicitly sets Content-Type headers through ASP.NET Core's content negotiation and response formatting. Controllers return IActionResult types that typically resolve to JSON with appropriate Content-Type headers. However, there's no explicit policy enforcing Content-Type headers for all responses, and no verification that text/* responses include character set specifications</t>
  </si>
  <si>
    <t>Response formatting middleware that ensures appropriate Content-Type headers with character sets. Use content negotiation options in ASP.NET Core to enforce consistent formatting. Validate with HTTP analyzers or tools like Fiddler that can inspect response headers</t>
  </si>
  <si>
    <t>14.4.2</t>
  </si>
  <si>
    <t>Verify that all API responses contain Content-Disposition: attachment; filename="api.json" header (or other appropriate filename for the content type).</t>
  </si>
  <si>
    <t>The application doesn't set Content-Disposition headers for API responses. There's no middleware or filter that adds these headers automatically, and no controller actions explicitly set them. This omission could potentially allow API responses to be rendered inline in a browser context, facilitating certain types of attacks</t>
  </si>
  <si>
    <t>Global filter or middleware that adds Content-Disposition headers to API responses. Use FileResult with FileDownloadName for file downloads. Validate with tools that can inspect HTTP headers such as browser developer tools or Fiddler</t>
  </si>
  <si>
    <t>14.4.3</t>
  </si>
  <si>
    <t>Verify that a Content Security Policy (CSP) response header is in place that helps mitigate impact for XSS attacks like HTML, DOM, JSON, and JavaScript injection vulnerabilities.</t>
  </si>
  <si>
    <t>The application doesn't implement Content Security Policy headers. There's no middleware configuration for CSP, no policy definition in the code, and no headers that would mitigate XSS attacks. This significant security gap leaves the application vulnerable to various injection attacks</t>
  </si>
  <si>
    <t>NWebsec middleware for ASP.NET Core to add CSP headers. Configure a strict CSP policy that limits script sources, style sources, and other resources. Validate with securityheaders.com or Mozilla Observatory to test CSP effectiveness</t>
  </si>
  <si>
    <t>14.4.4</t>
  </si>
  <si>
    <t>Verify that all responses contain a X-Content-Type-Options: nosniff header.</t>
  </si>
  <si>
    <t>The application doesn't set the X-Content-Type-Options header. There's no security headers middleware, no global filter adding this header, and no server configuration enforcing it. This omission could allow MIME-type sniffing attacks in certain browsers</t>
  </si>
  <si>
    <t>UseSecurityHeaders() middleware with X-Content-Type-Options configuration. Use NWebsec or custom header middleware. Validate with securityheaders.com or similar tools that scan response headers</t>
  </si>
  <si>
    <t>14.4.5</t>
  </si>
  <si>
    <t>Verify that a Strict-Transport-Security header is included on all responses and for all subdomains, such as Strict-Transport-Security: max-age=15724800; includeSubdomains.</t>
  </si>
  <si>
    <t>// Program.cs line 131 (HTTPS redirection without HSTS)
app.UseHttpsRedirection();</t>
  </si>
  <si>
    <t>The application enforces HTTPS through redirection but doesn't implement HTTP Strict Transport Security. While HTTPS redirection provides some protection, the absence of HSTS headers means that initial connections could still be vulnerable to downgrade attacks. There's no configuration for max-age or includeSubdomains flags</t>
  </si>
  <si>
    <t>app.UseHsts() to Program.cs with appropriate configuration for production environments. Configure with a sufficient max-age and includeSubdomains flag. Validate with securityheaders.com or similar HTTP header scanning tools</t>
  </si>
  <si>
    <t>14.4.6</t>
  </si>
  <si>
    <t>Verify that a suitable Referrer-Policy header is included to avoid exposing sensitive information in the URL through the Referer header to untrusted parties.</t>
  </si>
  <si>
    <t>The application doesn't set a Referrer-Policy header. There's no configuration for controlling how much referrer information is included in requests, potentially leaking sensitive information in URLs when users navigate to external sites from the application</t>
  </si>
  <si>
    <t>Referrer-Policy headers through NWebsec middleware or custom header configuration. Use strict policies like "same-origin" or "strict-origin-when-cross-origin". Validate with securityheaders.com or manual header inspection</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</si>
  <si>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</si>
  <si>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</si>
  <si>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The application doesn't implement X-Frame-Options or Content-Security-Policy: frame-ancestors headers. There's no protection against clickjacking through iframe embedding, allowing potential attackers to frame the application in malicious contexts</t>
  </si>
  <si>
    <t>X-Frame-Options: SAMEORIGIN or CSP frame-ancestors directive through NWebsec middleware or custom security headers. Validate with securityheaders.com or browser developer tools that attempt to frame the application</t>
  </si>
  <si>
    <t>HTTP Request Header Validation</t>
  </si>
  <si>
    <t>14.5.1</t>
  </si>
  <si>
    <t>Verify that the application server only accepts the HTTP methods in use by the application/API, including pre-flight OPTIONS, and logs/alerts on any requests that are not valid for the application context.</t>
  </si>
  <si>
    <t>The application doesn't restrict HTTP methods at the server level. There's no configuration limiting allowed methods, no custom middleware validating request methods, and no alerts for invalid method usage. This could potentially allow attackers to use uncommon HTTP methods against endpoints not designed to handle them</t>
  </si>
  <si>
    <t>HTTP method restrictions in web server configuration (IIS, Kestrel) or through custom middleware that validates methods. For IIS, use requestFiltering configuration. Validate with tools like Nmap's HTTP method scanning or OWASP ZAP's HTTP method testing</t>
  </si>
  <si>
    <t>14.5.2</t>
  </si>
  <si>
    <t>Verify that the supplied Origin header is not used for authentication or access control decisions, as the Origin header can easily be changed by an attacker.</t>
  </si>
  <si>
    <t>// Program.cs lines 14-22 (CORS configuration)
options.AddPolicy("AllowFrontend", policy =&gt;
{
    policy.WithOrigins("https://localhost:3000")
          .AllowAnyMethod()
          .AllowAnyHeader()
          .AllowCredentials();
});</t>
  </si>
  <si>
    <t>The application correctly uses CORS policy for controlling cross-origin requests but doesn't rely on the Origin header for authentication or access control decisions. Authorization is properly based on identity and role claims, not origin headers which could be spoofed. This is a good security practice</t>
  </si>
  <si>
    <t>ASP.NET Core's built-in authentication and authorization mechanisms. For validation, use penetration testing tools that attempt to spoof Origin headers to bypass security controls</t>
  </si>
  <si>
    <t>14.5.3</t>
  </si>
  <si>
    <t>Verify that the Cross-Origin Resource Sharing (CORS) Access-Control-Allow-Origin header uses a strict allow list of trusted domains and subdomains to match against and does not support the "null" origin.</t>
  </si>
  <si>
    <t>// Program.cs lines 14-22 (CORS with strict origin)
options.AddPolicy("AllowFrontend", policy =&gt;
{
    policy.WithOrigins("https://localhost:3000") // URL do frontend
          .AllowAnyMethod()
          .AllowAnyHeader()
          .AllowCredentials();
});</t>
  </si>
  <si>
    <t>The application correctly implements CORS with a specific allowed origin rather than a wildcard. The policy explicitly allows only https://localhost:3000 as an origin, which is a good security practice for development. The code doesn't allow the "null" origin, which is also positive. For production, this would need to be updated with the actual frontend domain</t>
  </si>
  <si>
    <t>ASP.NET Core's built-in CORS middleware with explicit origins. For production, use environment-specific configurations. Validate with cross-origin request tests or tools like CORS-Scanner to verify policy enforcement</t>
  </si>
  <si>
    <t>14.5.4</t>
  </si>
  <si>
    <t>Verify that HTTP headers added by a trusted proxy or SSO devices, such as a bearer token, are authenticated by the application.</t>
  </si>
  <si>
    <t>The application doesn't validate HTTP headers that might be added by proxies or SSO devices. There's no specific authentication of forwarded headers, no validation of bearer tokens that might come from proxies, and no configuration for trusted proxies. This could potentially allow header spoofing attacks if the application operates behind proxies</t>
  </si>
  <si>
    <t>ForwardedHeadersMiddleware with restrictive options. Configure known proxies and header validation logic. For APIs, validate bearer tokens regardless of source. Test with tools that can send spoofed proxy headers to validate rejection of unauthorized sources</t>
  </si>
  <si>
    <t>Built-in ASP.NET Core framework components for consistent encoding and parsing.</t>
  </si>
  <si>
    <t xml:space="preserve"> The application appears to use consistent .NET Core framework for parsing and encoding. The ProductController has methods for handling file imports/exports with consistent parsing logic for text files. All controllers inherit from BaseController or ControllerBase and use the same encoding mechanisms. The application uses standard ASP.NET Core MVC routing and controller patterns, which provide consistent URI parsing.</t>
  </si>
  <si>
    <t xml:space="preserve"> The API endpoints follow RESTful conventions and don't expose sensitive data in URLs. Authentication is handled via ASP.NET Identity with cookies rather than exposing tokens in URLs. The application uses proper authorization attributes and gets user IDs from claims rather than passing them in URLs.</t>
  </si>
  <si>
    <t>ASP.NET Core Identity for authentication and authorization.</t>
  </si>
  <si>
    <t>The application implements authorization at both levels:
URI level: Controllers use [Authorize] and role-based attributes like [Authorize(Roles = nameof(UserType.Producer))] to protect endpoints.
Resource level: Controllers perform checks like var product = _unitOfWork.Product.Get(p =&gt; p.Id == id &amp;&amp; p.ProducerId == producerId &amp;&amp; !p.IsDeleted) to ensure users only access their own resources.</t>
  </si>
  <si>
    <t>ASP.NET Core Authorization attributes and resource-level permission checks in controller methods.</t>
  </si>
  <si>
    <t>While the application handles file imports with content type validation (if (!file.ContentType.Contains("text")), there's no explicit global validation for content types across all API endpoints. The application should implement middleware to validate content types and return appropriate status codes for unsupported media types.</t>
  </si>
  <si>
    <t>ASP.NET Core Authorization attributes with role-based policies.</t>
  </si>
  <si>
    <t>The application correctly restricts HTTP methods using authorization attributes. For example, ProductController restricts all methods to users with the Producer role. Additionally, resource-level checks verify the user owns the resource they are trying to modify.</t>
  </si>
  <si>
    <t>There's no explicit JSON schema validation in the controllers. The application relies on ASP.NET Core model binding and basic checks, but doesn't implement formal JSON schema validation. While ModelState validation is used in some controllers (if (ModelState.IsValid)), more robust schema validation would improve security.</t>
  </si>
  <si>
    <t>While the application uses cookies for authentication (options.Cookie.SecurePolicy = CookieSecurePolicy.Always), there's no explicit CSRF protection mechanism visible in the code. ASP.NET Core has built-in CSRF protection using anti-forgery tokens, but this doesn't appear to be implemented in the controllers.</t>
  </si>
  <si>
    <t xml:space="preserve"> The application doesn't consistently check the Content-Type header in API controllers. Only in file upload scenarios (ImportProductsFromFile) is there content type validation. The application should implement consistent Content-Type validation across all API endpoints.</t>
  </si>
  <si>
    <t>The application enforces HTTPS in production via app.UseHttpsRedirection() in Program.cs. Cookie security is also configured properly in production with options.Cookie.SecurePolicy = CookieSecurePolicy.Always and options.Cookie.SameSite = SameSiteMode.Strict.</t>
  </si>
  <si>
    <t>ASP.NET Core HTTPS redirection middleware and secure cookie configuration.</t>
  </si>
  <si>
    <t>The application doesn't appear to use SOAP web services. It's built as a RESTful API using JSON for data exchange, not XML/SOAP.</t>
  </si>
  <si>
    <t>The application doesn't implement SOAP web services or WS-Security. It uses RESTful architecture with HTTPS for transport security.
GraphQL:</t>
  </si>
  <si>
    <t>The application doesn't use GraphQL. Authorization is implemented at the controller level and business logic layer using ASP.NET Core authorization mechanisms.</t>
  </si>
  <si>
    <t>The application doesn't implement GraphQL. It uses traditional RESTful API endpoints.</t>
  </si>
  <si>
    <t>//ProductController.cs                         // Consistent parsing for file imports
using (var reader = new StreamReader(stream))
{
    string? line;
    // ...parsing logic...
}</t>
  </si>
  <si>
    <t>//ProductController.cs                         [HttpGet("{id}")]
public IActionResult GetProduct(int id)
{
    var product = _unitOfWork.Product.Get(p =&gt; p.Id == id &amp;&amp; !p.IsDeleted, "Composites.SubProduct");
    // Secure method of getting product without exposing sensitive data in URL
}</t>
  </si>
  <si>
    <t>//ProductController.cs [HttpDelete("{id}")]
public IActionResult DeleteProduct(int id)
{
    var producerId = User.Claims.FirstOrDefault(c =&gt; c.Type.Equals(ClaimTypes.NameIdentifier))?.Value;
    // Resource-level permission check
    var product = _unitOfWork.Product.Get(p =&gt; p.Id == id &amp;&amp; p.ProducerId == producerId &amp;&amp; !p.IsDeleted);
}</t>
  </si>
  <si>
    <t>//Program.cs                                      // Secure cookie configuration
options.Cookie.SecurePolicy = CookieSecurePolicy.Always; // Apenas HTTPS
options.Cookie.SameSite = SameSiteMode.Strict; // Mais seguro</t>
  </si>
  <si>
    <t>There is no evidence in the codebase of static or dynamic analysis tools being implemented. It is recommended to use tools such as SonarQube, Microsoft Security Code Analysis, or other SAST (Static Application Security Testing) tools integrated into the CI/CD pipeline.</t>
  </si>
  <si>
    <t>The code does not contain unauthorized "phone home" functionality. The only data sending observed is the use of the email service (MailSettings) which is clearly defined for notifications.</t>
  </si>
  <si>
    <t>//appsettings.json          "MailSettings": {
  "Host": "smtp.mailtrap.io",
  "Port": 2525,
  "Username": "392da75e956865",
  "Password": "3f913aa44e4176",
  "FromEmail": "noreply@amap.com",
  "FromName": "AMAP Notifications"
}</t>
  </si>
  <si>
    <t>The backend application does not request unnecessary privacy-related permissions. The operations only involve CRUD methods for the application's core functionality.</t>
  </si>
  <si>
    <t>Transparent configuration in configuration files</t>
  </si>
  <si>
    <t>ASP.NET Core with minimal necessary permissions</t>
  </si>
  <si>
    <t>//Program.cs builder.Services.AddControllers();
builder.Services.AddScoped&lt;IUnitOfWork, UnityOfWork&gt;();
builder.Services.AddDbContext&lt;AppDbContext&gt;(options =&gt;
    options.UseSqlServer(builder.Configuration.GetConnectionString("DefaultConnection")));</t>
  </si>
  <si>
    <t>No backdoors were found in the examined code. Authentication and authorization are managed through ASP.NET Identity in a transparent manner. There are no suspicious hardcoded accounts or keys beyond normal configuration values in appsettings.json.</t>
  </si>
  <si>
    <t>Legitimate use of time functions for session timeout</t>
  </si>
  <si>
    <t>ASP.NET Identity for authentication/authorization management</t>
  </si>
  <si>
    <t>//Program.cs builder.Services.AddIdentity&lt;AppUser, IdentityRole&gt;()
    .AddEntityFrameworkStores&lt;AppDbContext&gt;()
    .AddDefaultTokenProviders();</t>
  </si>
  <si>
    <t>There is no evidence of time bombs in the code. Date and time functions are used only for legitimate purposes such as authentication and session management.
Source Code Reference:</t>
  </si>
  <si>
    <t>//Program.cs builder.Services.AddSession(options =&gt;
{
    options.IdleTimeout = TimeSpan.FromMinutes(100); // Session expiration time
    // ...
});</t>
  </si>
  <si>
    <t>No indications of malicious code such as salami attacks, logic bypasses, or logic bombs were identified. The application logic follows standard flows for a CRUD application with authentication.</t>
  </si>
  <si>
    <t>Transparent business logic in controllers</t>
  </si>
  <si>
    <t>//productController.cs     [HttpGet("{id}")]
public IActionResult GetProduct(int id)
{
    var product = _unitOfWork.Product.Get(p =&gt; p.Id == id &amp;&amp; !p.IsDeleted, "Composites.SubProduct");
    // Clear and straightforward logic
    // ...
}</t>
  </si>
  <si>
    <t>No Easter eggs or potentially unwanted functionality were found in the code. Controllers and services implement only the necessary business functionality.</t>
  </si>
  <si>
    <t>Code focused on business functionality without hidden elements</t>
  </si>
  <si>
    <t>//ProductController.cs              [HttpPost]
public IActionResult CreateProduct([FromBody] Product product)
{
    // Legitimate business validations and operations
    // ...
}</t>
  </si>
  <si>
    <t>The backend application does not implement auto-update functionality. It is a traditional RESTful API without an auto-update mechanism</t>
  </si>
  <si>
    <t>NuGet package system and .NET dependency management</t>
  </si>
  <si>
    <t>The application does not load code from untrusted sources. Dependencies are managed through the NuGet package system and defined in the project file. There is no dynamic loading of modules from external sources.</t>
  </si>
  <si>
    <t>The backend application does not show dependency on specific subdomains or external DNS entries that could be vulnerable to takeovers. It is a locally hosted API as indicated by the configuration.</t>
  </si>
  <si>
    <t>There is no evidence of rate limiting or protection against rapid transaction processing in the application. The API does not implement any mechanism to verify that actions are performed at a realistic human pace, which could allow automated attacks or abuse of business logic.</t>
  </si>
  <si>
    <t>The application does not implement anti-automation controls to enforce the proper sequence of business logic flows. While there are authorization checks, there are no mechanisms to ensure that business processes are executed in the correct order or to prevent automated traversal of endpoints.</t>
  </si>
  <si>
    <t xml:space="preserve"> While the application implements basic role-based authorization, it lacks specific transaction limits or quotas for individual business actions on a per-user basis. The authorization is limited to role checks but does not enforce appropriate limits on the number or frequency of actions a user can perform.</t>
  </si>
  <si>
    <t>Although the application implements some basic business logic validation (such as preventing duplicate product names), there is no evidence of comprehensive threat modeling or systematic protection against likely business risks. The validations appear to be ad-hoc rather than the result of a formal threat modeling process.</t>
  </si>
  <si>
    <t>The application does not implement anti-automation controls to prevent excessive API calls, mass data exfiltration, or denial of service. There are no throttling mechanisms, request rate limiting, or protection against bulk operations visible in the code.</t>
  </si>
  <si>
    <t>The application doesn't implement specific protections against race conditions or TOCTOU issues. For example, when updating products, there's no optimistic concurrency control or other mechanisms to prevent race conditions if multiple users try to update the same resource simultaneously.</t>
  </si>
  <si>
    <t>There is no evidence of monitoring for unusual or suspicious business logic activity. The application does not log or track suspicious patterns such as attempts to access resources in an unusual sequence or unexpected access patterns.</t>
  </si>
  <si>
    <t>The application does not implement configurable alerting for automated attacks or unusual activity. There is no monitoring system that could trigger alerts when suspicious patterns are detected.</t>
  </si>
  <si>
    <t>There is no evidence of file size validation or limitations in the file upload functionality. In the ImportProductsFromFile method, the application does not check the file size before processing it, which could lead to resource exhaustion.</t>
  </si>
  <si>
    <t>The application does not appear to handle compressed files. It only processes text files for product imports and does not include functionality for decompressing files.
Source Code Reference: N/A</t>
  </si>
  <si>
    <t>The application does not implement quotas for file uploads or restrictions on the number of files a user can upload. There is no mechanism to track or limit the total storage used by a single user.</t>
  </si>
  <si>
    <t xml:space="preserve"> The application does validate file content type when importing files. In the ImportProductsFromFile method, it checks that the uploaded file has a text content type.</t>
  </si>
  <si>
    <t>ContentType validation in ASP.NET Core</t>
  </si>
  <si>
    <t>//ProductController.cs                    if (!file.ContentType.Contains("text"))
{
    return BadRequest(new { message: "File must be text format" });
}</t>
  </si>
  <si>
    <t>The application stores uploaded files using the original filename without proper sanitization or protection against path traversal. It directly uses the filename provided by the user when saving files.</t>
  </si>
  <si>
    <t>The application does not validate or sanitize user-submitted filenames to prevent local file inclusion vulnerabilities. When exporting or importing files, it uses user-controlled data without proper validation.
Source Code Reference:</t>
  </si>
  <si>
    <t>The application does not include functionality for loading remote files based on user input. It only deals with locally uploaded and stored files.</t>
  </si>
  <si>
    <t>When downloading files, the application does set Content-Type and uses the Content-Disposition header, but it uses a filename derived partially from user data (the producer's name) without proper validation.</t>
  </si>
  <si>
    <t>ProductController.cs                       // Clean producer name for filename
var rawName = string.IsNullOrWhiteSpace(producer.Name) ? "unknown" : producer.Name;
var cleanName = RemoveInvalidFileNameChars(rawName.Replace(" ", "_"));
var fileName = $"products_{cleanName}.txt";
var contentType = "text/plain";
var fileBytes = Encoding.UTF8.GetBytes(sb.ToString());
// Save file to /dtmb folder
var dtmbPath = Path.Combine(_webHostEnvironment.ContentRootPath, "ExportedProducts");
Directory.CreateDirectory(dtmbPath);
var fullPath = Path.Combine(dtmbPath, fileName);
System.IO.File.WriteAllBytes(fullPath, fileBytes);
// Return file to user
return File(fileBytes, contentType, fileName);</t>
  </si>
  <si>
    <t>The application does not use file metadata directly with system APIs in a way that could lead to command injection. File operations are performed using safe .NET file handling APIs.</t>
  </si>
  <si>
    <t>Safe .NET file handling APIs</t>
  </si>
  <si>
    <t>var filePath = Path.Combine(uploadsPath, file.FileName);
using (var stream = new FileStream(filePath, FileMode.Create))
{
    file.CopyTo(stream);
}</t>
  </si>
  <si>
    <t>The application does not load or execute code from external untrusted sources. It relies on NuGet packages and the standard ASP.NET Core framework without dynamically loading external code.</t>
  </si>
  <si>
    <t xml:space="preserve"> Standard .NET dependency management</t>
  </si>
  <si>
    <t>The application stores uploaded files in specific directories outside the web root. Files are stored in custom directories like "ProductsUpload" and "ExportedProducts" within the application's content root.</t>
  </si>
  <si>
    <t>Path.Combine for safe path construction</t>
  </si>
  <si>
    <t>var uploadsPath = Path.Combine(Directory.GetCurrentDirectory(), "ProductsUpload");
Directory.CreateDirectory(uploadsPath);
var filePath = Path.Combine(uploadsPath, file.FileName);</t>
  </si>
  <si>
    <t>There is no evidence of antivirus scanning or malware detection for uploaded files. The application only performs basic content type validation without scanning for malicious content.</t>
  </si>
  <si>
    <t>There is no evidence of file extension filtering at the web server level. The application does not implement restrictions on which file types can be served beyond the specific file operations in the code.</t>
  </si>
  <si>
    <t xml:space="preserve"> When serving files, the application explicitly sets content types (e.g., "text/plain") which prevents browsers from executing the content as HTML/JavaScript.</t>
  </si>
  <si>
    <t>var contentType = "text/plain";
var fileBytes = Encoding.UTF8.GetBytes(sb.ToString());
// ... file saving logic ...
// Return file to user
return File(fileBytes, contentType, fileName);</t>
  </si>
  <si>
    <t>The application does not make outbound requests to external systems based on user input. The only outbound connections appear to be for email notifications using fixed configuration settings, not user-controlled URLs.</t>
  </si>
  <si>
    <t>ASP.NET Core Identity Framework - This is the authentication framework being used, which handles password validation through its configuration options and validators.</t>
  </si>
  <si>
    <t>Allowing any printable Unicode character in passwords (including spaces and emojis) increases the available character space, making passwords stronger against brute-force attacks. This is particularly relevant considering the high-risk threats identified related to authentication and identity spoofing (threats #2, #7, #9, #10 in the DREAD list), such as "Identity spoofing to gain unauthorized access" and "Identity spoofing to bypass authentication.</t>
  </si>
  <si>
    <t>Password validation library that supports full Unicode
Modern authentication framework (ASP.NET Identity)</t>
  </si>
  <si>
    <t xml:space="preserve">Establishing a minimum password length of 12 characters is crucial to mitigate authentication-related threats, such as those identified with high severity in the DREAD analysis (#2, #7, #9, #10). Longer passwords significantly increase resistance against brute-force and dictionary attacks. This measure helps protect against "Identity spoofing to gain unauthorized access" and "Credential interception during transmission," which are critical threats in the AMAP system, especially considering access by different types of users (Managers, Producers, Co-Producers).
</t>
  </si>
  <si>
    <t>Password validation libraries such as zxcvbn
Password policy configuration in authentication frameworks
Password strength validators on both frontend and backend</t>
  </si>
  <si>
    <t>Allowing long passwords (up to 64 characters) while capping the maximum at 128 characters balances security and protection against DoS attacks. Longer passwords strengthen security against high-severity authentication-related threats identified in the DREAD analysis, such as "Identity spoofing to gain unauthorized access" (#7) and "Identity spoofing to bypass authentication" (#9). The upper limit of 128 characters protects against potential denial-of-service attacks based on extremely long passwords that could overwhelm the hashing process.</t>
  </si>
  <si>
    <t>Avoiding password truncation is essential to preserve the password’s entropy and strength as intended by the user. This practice prevents vulnerabilities related to various high-severity authentication threats identified in the DREAD analysis, such as "Identity spoofing to gain unauthorized access" (#7) and "Modification of credentials or tokens during transmission" (#8). Normalizing consecutive spaces into a single space is an acceptable compromise that avoids usability issues without significantly compromising security. Implementing this requirement is critical to protecting the accounts of all user profiles in the AMAP system (Managers, Producers, Co-Producers).</t>
  </si>
  <si>
    <t>Allowing users to change their passwords is a fundamental security feature that mitigates several threats identified in the DREAD analysis. This capability is crucial in the event of credential compromise, directly relating to high-severity threats such as "Credential interception during transmission" (#10) and "Identity spoofing to gain unauthorized access" (#7). All user types in the AMAP system (Managers, Producers, and Co-Producers) should have this capability to maintain control over their accounts, especially considering the sensitive nature of financial and payment information managed on the platform.</t>
  </si>
  <si>
    <t>Requiring the current password during the password change process is a critical security measure that prevents unauthorized changes in case a session is compromised. This practice protects against several high-severity threats identified in the DREAD analysis, particularly "Privilege escalation from Co-Producer to Producer/Manager" (#18) and "Identity spoofing to gain unauthorized access" (#7). For the AMAP system, where different user profiles have access to different functionalities and sensitive data, this two-step verification is essential to ensure that only the legitimate user can change their password, even if an attacker gains temporary access to the authenticated session.</t>
  </si>
  <si>
    <t>OWASP Threat Dragon - DFDs diagrams</t>
  </si>
  <si>
    <t>Verifying passwords against sets of compromised passwords is a crucial measure to protect against high-severity authentication threats identified in the DREAD analysis. This practice prevents the use of already leaked credentials, significantly reducing the risk of credential stuffing and brute-force attacks related to threats #7 "Identity spoofing to gain unauthorized access" and #9 "Identity spoofing to bypass authentication." For AMAP, where financial transactions and sensitive data from producers and consumers are involved, ensuring that passwords are not compromised is particularly important to protect against attacks that could lead to financial fraud or manipulation of offers.</t>
  </si>
  <si>
    <t>ASP.NET Core Identity for authentication management and password policies
Have I Been Pwned (HIBP) service with k-anonymity implementation
Local libraries for checking compromised passwords
Zxcvbn or similar libraries for password strength evaluation
Password verification APIs with zero-knowledge proof</t>
  </si>
  <si>
    <t>Password change forms with current password validation
Protection against brute force attacks on these interfaces
Password change attempt logs for detecting suspicious activities
ASP.NET Core Identity for authentication management and password policies</t>
  </si>
  <si>
    <t>Password change functionality in the user interface
Workflows to verify the current password before changing
Email notifications for password changes to alert users about unauthorized changes
ASP.NET Core Identity for authentication management and password policies</t>
  </si>
  <si>
    <t>Modern hashing algorithms that support long passwords (Argon2, bcrypt)
Proper string processing for space normalization
Automated tests to verify the correct behavior of the authentication system
ASP.NET Core Identity for authentication management and password policies</t>
  </si>
  <si>
    <t>Implementing a password strength meter provides immediate visual feedback to users, encouraging the creation of stronger and more diverse passwords. This interface feature helps mitigate authentication-related threats identified in the DREAD analysis, such as "Identity spoofing to gain unauthorized access" (#7) and "Identity spoofing to bypass authentication" (#9). For the AMAP system, where different profiles (Managers, Producers, Co-Producers) have access to critical functionalities and sensitive financial data, guiding users in creating strong passwords is essential for the overall security of the platform.</t>
  </si>
  <si>
    <t xml:space="preserve">ASP.NET Core Identity for password policies and validation
Zxcvbn library for realistic password strength evaluation
UI components for password strength meters
Real-time feedback with password improvement suggestions
</t>
  </si>
  <si>
    <t>Avoiding strict password composition rules favors longer and more memorable passwords over complex but short ones, aligning with modern security recommendations from NIST SP 800-63B. This approach helps prevent counterproductive behaviors such as writing down passwords or using predictable patterns. Considering the high-severity authentication-related threats in the DREAD analysis (such as #7 "Identity spoofing to gain unauthorized access" and #9 "Identity spoofing to bypass authentication"), the focus should be on the total entropy of the password, which is better achieved with increased length rather than arbitrary complexity rules. For AMAP, this policy enhances both the security and usability of the system.</t>
  </si>
  <si>
    <t>Authentication frameworks (like ASP.NET Core Identity) configured to verify only the minimum length
Password strength meters based on real entropy (such as zxcvbn)
Password policies aligned with NIST recommendations</t>
  </si>
  <si>
    <t>The absence of mandatory periodic password rotation aligns with modern security guidelines (NIST SP 800-63B), which recognize that this practice often leads to risky behaviors such as sequential passwords or password writing. For the AMAP system, it is more effective to focus on detecting compromise (such as anomalous authentication) and provide mechanisms for changing passwords when necessary, rather than forcing arbitrary changes. This approach helps reduce threats identified in the DREAD analysis, such as "Identity spoofing to gain unauthorized access" (#7), without introducing practices that may lower overall security by encouraging weaker or more predictable passwords by users.</t>
  </si>
  <si>
    <t>Anomalous authentication detection systems
Login notifications for new devices/locations
Option for users to voluntarily change their passwords using ASP.NET Core Identity</t>
  </si>
  <si>
    <t>Allowing the ability to paste passwords, browser password helpers, and external password managers is crucial to promote the use of strong and unique passwords. This practice aligns with modern security recommendations (NIST SP 800-63B) and mitigates various high-severity authentication threats identified in the DREAD analysis, such as "Identity spoofing to gain unauthorized access" (#7) and "Credential interception during transmission" (#10). For the AMAP system, with different types of users (Managers, Producers, Co-Producers) who need to keep credentials secure, enabling password manager usage encourages positive security behaviors, reducing the risk of password reuse and weak passwords.</t>
  </si>
  <si>
    <t>Proper configuration of password fields that do not block the "paste" functionality
Support for browser autofill APIs
Compatibility with popular password managers, alongside ASP.NET Core Identity</t>
  </si>
  <si>
    <t>Allowing temporary password visibility during typing strikes a balance between security and usability. This feature reduces input errors and user frustration while maintaining protection against onlookers ("shoulder surfing"). For AMAP, where different user profiles (Managers, Producers, Co-Producers) access the platform from various environments, this feature is important to avoid unnecessary account lockouts and reduce the tendency to create simple passwords out of fear of typing mistakes. This feature does not significantly compromise security when implemented correctly (temporary visibility, user-activated) and helps balance usability with protections against threats such as "Identity spoofing" (#2, #7, #9).</t>
  </si>
  <si>
    <t>Modern UI components for password fields with visibility toggle
Implementing a timeout to automatically hide the password after brief exposure
Visual feedback for the last typed character, in combination with ASP.NET Core Identity</t>
  </si>
  <si>
    <t>Anti-automation controls are essential to protect against multiple high-severity threats identified in the DREAD analysis, particularly "Identity spoofing to gain unauthorized access" (#7) and "Identity spoofing to bypass authentication" (#9). For AMAP, where unauthorized access could lead to manipulation of listings, identity spoofing of producers or managers, and access to sensitive financial information, implementing defense-in-depth against automated attacks is critical. The combination of different techniques (rate limiting, increasing delays, CAPTCHA, temporary account lockouts) creates multiple barriers against brute force attacks without compromising system availability for legitimate users.</t>
  </si>
  <si>
    <t>ASP.NET Core Identity (for account lockout and multi-factor authentication)
Brute force protection frameworks (like Fail2Ban)
CAPTCHA/reCAPTCHA services
Anomaly behavior detection systems
Rate limiting libraries
IP reputation systems
Monitoring and alerting for suspicious login attempts</t>
  </si>
  <si>
    <t>Limiting weak authenticators (SMS/email) to secondary verifications is crucial for AMAP, considering the high-severity threats identified in the DREAD analysis. This practice protects against "Manager identity spoofing" (#2), "Identity spoofing to gain unauthorized access" (#7), and "Spoofing of AMAP’s email system" (#27). For sensitive operations such as approving financial transactions, creating listings, and managing products, stronger authenticators should be the primary option. This approach is particularly important given AMAP’s system, where different access levels (Managers, Producers, CoProducers) handle sensitive financial and transactional information.</t>
  </si>
  <si>
    <t>ASP.NET Core Identity (for multi-factor authentication, including TOTP, WebAuthn)
Risk analysis systems to determine when additional verification is required
User education on risks associated with different authentication methods
Authentication frameworks supporting multiple factors with varying levels of security</t>
  </si>
  <si>
    <t>Secure notifications about changes to authentication details are essential for AMAP, considering several high-severity threats identified in the DREAD analysis, such as "Unauthorized change of payment information" (#17) and "Privilege escalation from CoProducer to Producer/Manager" (#18). For a system that manages financial information and transactions, alerting users about changes to their accounts allows for quick detection of compromise. A preference for push notifications over SMS/email enhances security, but any notification without sensitive data is better than none. This measure also helps mitigate risks related to "Denial of having made a subscription or payment" (#1) by creating visible audit trails for the user.</t>
  </si>
  <si>
    <t>ASP.NET Core Identity (for event-driven notifications when authentication details are changed)
Secure push notification services
Anomaly login detection systems
Email/SMS templates without sensitive information
Logs of sent notifications as part of the audit trail</t>
  </si>
  <si>
    <t>FIDO2/WebAuthn authenticators (e.g., YubiKeys, Windows Hello)
Authentication apps with intent verification (e.g., push to approve)
Public Key Infrastructure (PKI) for client certificates
Authentication frameworks supporting AAL2/AAL3 level authenticators
ASP.NET Core Identity Framework for managing user authentication and integrating with phishing-resistant authenticators</t>
  </si>
  <si>
    <t>Resistance to impersonation is critical for AMAP, given the multiple high-severity threats related to identity forgery identified in the DREAD analysis: "Impersonation of a Manager" (#2), "Impersonation for unauthorized access" (#7), "Impersonation of a Producer" (#26). For a system that manages financial transactions and allows managers and producers to create offers and manage resources, implementing phishing-resistant authenticators such as physical keys (FIDO2/WebAuthn) or app-based MFA is essential to prevent the compromise of high-privilege accounts. These mechanisms are particularly important for protecting the accounts of Managers and Producers who have extensive privileges in the system.</t>
  </si>
  <si>
    <t>Mutual TLS authentication between the Credential Service Provider (CSP) and the AMAP application is essential to prevent several high-severity threats identified in the DREAD analysis, particularly "Modification of credentials or tokens during transmission" (#8) and "Interception of credentials during transmission" (#10). For a system like AMAP, which handles different access levels and sensitive financial information, ensuring secure and authenticated communication between distributed authentication components is critical. Mutual TLS (mTLS) verifies the identity of both endpoints, preventing man-in-the-middle attacks and ensuring that only authorized services can participate in the authentication flow.</t>
  </si>
  <si>
    <t>Public Key Infrastructure (PKI) for certificate management
API Gateways with mTLS support
Secure reverse proxies (e.g., Nginx, HAProxy) configured for mTLS
Monitoring systems for certificate validity verification</t>
  </si>
  <si>
    <t>Resistance to replay attacks is essential for AMAP, considering the high-severity threats identified in the DREAD analysis, particularly "Impersonation for unauthorized access" (#7) and "Modification of credentials or tokens during transmission" (#8). To protect sensitive operations like payments, data modifications, and offer creation, implementing authenticators that generate one-time-use tokens (TOTP/HOTP) or cryptographic challenges prevents the reuse of captured credentials. This measure is especially important for Manager and Producer accounts that have privileged access in the system, mitigating the risk of session compromise or credential interception.</t>
  </si>
  <si>
    <t>TOTP/HOTP authentication apps (e.g., Google Authenticator, Microsoft Authenticator)
FIDO2/WebAuthn authenticators with cryptographic challenges
One-time code generation and verification systems
Authentication frameworks supporting ephemeral tokens</t>
  </si>
  <si>
    <t>Authentication intent verification is crucial for AMAP, considering multiple high-severity threats in the DREAD analysis, such as "Impersonation for unauthorized access" (8.0), "Impersonation to bypass authentication" (7.8), and "Credential interception during transmission" (7.8). Requiring an explicit user action (such as pressing a button on a FIDO key) or entering an OTP token confirms that the authentication is intentional and not automated by malware. This additional layer of protection is particularly important for Managers and Producers who have privileged access to critical system functions, such as payment and offer management. In addition to mitigating phishing risks, this requirement also helps fulfill GDPR obligations related to the protection of personal data.</t>
  </si>
  <si>
    <t>FIDO2/WebAuthn authenticators (e.g., YubiKey, security keys)
TOTP authentication apps (e.g., Google Authenticator, Microsoft Authenticator)
Authentication frameworks supporting MFA (e.g., Auth0, Firebase Authentication)
WebAuthn integration libraries for web platforms</t>
  </si>
  <si>
    <t>The implementation of initial passwords or activation codes generated by the system with secure characteristics is essential for AMAP, mitigating several high-severity threats from the DREAD analysis, such as "Impersonation of a Manager" (8.0) and "Impersonation for unauthorized access" (8.0). Ensuring that these temporary credentials are random, sufficiently complex, and expire quickly significantly reduces the window of opportunity for attacks during the registration or password reset process. Requiring users to change these initial passwords to permanent credentials chosen by the user is crucial to prevent unauthorized access, especially considering that privileged roles in the system (Managers and Producers) could be compromised. This practice also aligns with GDPR requirements to implement appropriate technical measures to protect personal data.</t>
  </si>
  <si>
    <t>Cryptographically Secure Pseudo-Random Number Generators (CSPRNG)
Authentication frameworks supporting temporary passwords (e.g., ASP.NET Identity)
Systems for automatic expiration of temporary passwords
Password policy verification modules</t>
  </si>
  <si>
    <t>Supporting the integration and use of user-provided authentication devices, such as FIDO/U2F tokens, is highly relevant for AMAP due to several high-severity threats identified in the DREAD analysis, particularly "Impersonation for unauthorized access" (8.0), "Impersonation of a Manager" (8.0), and "Credential interception during transmission" (7.8). Physical security keys provide superior protection against phishing and credential theft attacks, as authentication depends on the possession of a physical device rather than credentials that can be compromised. For privileged roles like Managers and Producers, who have access to sensitive financial information and can modify offers or process payments, this additional layer of security is particularly valuable. Additionally, this requirement aligns with modern security recommendations and facilitates compliance with GDPR by implementing appropriate technical measures to protect personal data.</t>
  </si>
  <si>
    <t>WebAuthn/FIDO2 libraries (e.g., SimpleWebAuthn)
FIDO security devices (e.g., YubiKey, Google Titan, etc.)
Authentication frameworks supporting FIDO/U2F
Credential management APIs for token registration and verification
SDKs for integration with identity providers supporting FIDO
ASP.NET Identity for user management and MFA integration (Note: ASP.NET Identity needs to be integrated with FIDO2/WebAuthn libraries for full support of FIDO/U2F tokens)</t>
  </si>
  <si>
    <t>Ensuring that renewal instructions are sent in advance is essential for AMAP, especially to mitigate risks related to loss of access due to expired authentications. This is relevant to threats identified in the DREAD analysis, such as "Impersonation to bypass authentication" (7.8) and "Unauthorized access to control functionalities" (7.2). Timely renewal of temporal authenticators, such as tokens or certificates, reduces the risk of interruptions in legitimate access and prevents users from resorting to insecure practices like reusing compromised credentials. This practice also improves the user experience and aligns with security best practices, ensuring the continuity of strong authentication usage.</t>
  </si>
  <si>
    <t xml:space="preserve">Automated notification systems (email, SMS, push notifications)
Authentication management APIs with token renewal support
Certificate/authenticator expiration monitoring tools
Authentication frameworks with support for renewal reminders (e.g., Auth0, Okta)
ASP.NET Identity for managing authentication expiration and session renewal
</t>
  </si>
  <si>
    <t>Identity (ASP.NET Core)</t>
  </si>
  <si>
    <t xml:space="preserve">Storing passwords securely is essential for AMAP, considering threats such as "Credential interception during transmission" (7.8) and "Access to sensitive user information" (7.8). The use of approved key derivation or hashing functions, such as bcrypt, Argon2, or PBKDF2, with salting and a cost factor, protects against offline attacks, such as brute force or dictionary attacks, even if the hashes are compromised. This practice is crucial for protecting user accounts, especially those with elevated privileges, such as Managers and Producers. Additionally, secure password storage is a requirement under the GDPR to protect personal data and aligns with best security practices recommended by OWASP.
</t>
  </si>
  <si>
    <t>Password hashing libraries (bcrypt, Argon2, PBKDF2)
Authentication frameworks with support for secure hashing (ASP.NET Identity)
Auditing tools to verify the security of password storage
Security policy configuration for passwords (e.g., minimum length, complexity)</t>
  </si>
  <si>
    <t>Using a unique and random salt of at least 32 bits in length is essential for protecting passwords stored in AMAP against offline attacks, such as brute force and rainbow table attacks. This practice mitigates threats identified in the DREAD analysis, such as "Access to sensitive user information" (7.8) and "Credential interception during transmission" (7.8). A unique salt per credential ensures that identical hashes are not generated for the same passwords, even if they are used by different users. This approach aligns with best security practices and GDPR requirements for protecting personal data.</t>
  </si>
  <si>
    <t>Password hashing libraries with support for salting (bcrypt, Argon2, PBKDF2)
Cryptographically secure random number generators (CSPRNG) for generating salt
Authentication frameworks that implement automatic salting (e.g., ASP.NET Identity)
Auditing tools to verify the uniqueness and length of stored salts</t>
  </si>
  <si>
    <t>Using a high number of iterations in PBKDF2 is essential to increase resistance against offline attacks, such as brute force, by making the hashing process computationally expensive for attackers. This requirement is relevant for AMAP, considering threats such as "Access to sensitive user information" (7.8) and "Credential interception during transmission" (7.8). A minimum of 100,000 iterations is recommended, but the exact number should balance security and the performance of the authentication server. This practice aligns with best security practices and helps meet GDPR requirements for protecting personal data.</t>
  </si>
  <si>
    <t xml:space="preserve">
Authentication frameworks that support configurable PBKDF2 (e.g., ASP.NET Identity)
Benchmark tools to determine the ideal number of iterations based on server performance
Regular audits to ensure the iteration count is up-to-date with current security standards</t>
  </si>
  <si>
    <t>Program.cs and SubscriptionPeriodController.cs.</t>
  </si>
  <si>
    <t>Using a high work factor in bcrypt is essential to increase resistance against offline attacks, such as brute force, by making the hashing process slower and computationally expensive for attackers. This requirement is relevant for AMAP, considering threats such as "Access to sensitive user information" (7.8) and "Credential interception during transmission" (7.8). A minimum work factor of 10 is recommended, but it should be adjusted based on server performance to ensure a balance between security and usability. This practice aligns with best security practices and helps protect personal data, in compliance with GDPR.</t>
  </si>
  <si>
    <t xml:space="preserve">
Authentication frameworks that support configurable bcrypt (e.g., ASP.NET Identity)
Benchmark tools to determine the ideal work factor based on server performance
Regular audits to ensure the work factor is up-to-date with current security standards</t>
  </si>
  <si>
    <t>Performing an additional iteration of a key derivation function with a secret salt significantly improves security against offline attacks, even if password hashes are compromised. This requirement is relevant for AMAP, considering threats such as "Access to sensitive user information" (7.8) and "Credential interception during transmission" (7.8). The use of a secret salt, generated by an approved cryptographically secure random number generator (SP 800-90Ar1), and stored separately (such as in an HSM), adds an extra layer of protection, making brute force and targeted attacks more difficult. This practice aligns with modern security standards and helps comply with GDPR requirements for protecting personal data.</t>
  </si>
  <si>
    <t>Cryptographically secure random number generators (CSPRNGs) compliant with SP 800-90Ar1
Hardware Security Modules (HSMs) for secure storage of secret salts
Key derivation function implementations (e.g., Argon2, PBKDF2, bcrypt) with support for multiple iterations
Authentication frameworks that allow configuration of secret salts and secure storage (e.g., AWS KMS, Azure Key Vault)</t>
  </si>
  <si>
    <t>Sending activation or recovery secrets in clear text exposes the system to significant risks, such as "Credential interception during transmission" (7.8) and "Unauthorized exposure of sensitive data" (7.6), identified in the AMAP DREAD analysis. To protect these secrets, it is essential to transmit them securely, using encrypted channels (such as HTTPS or TLS for emails) or alternative methods like one-time-use links or codes sent via authenticated apps. This practice reduces the risk of interception by attackers and aligns with the GDPR requirements to protect personal data during transmission.</t>
  </si>
  <si>
    <t>Secure communication protocols (TLS 1.2 or higher)
Email sending APIs with encryption support (e.g., AWS SES, SendGrid)
Authentication apps for secret delivery (e.g., Google Authenticator, Microsoft Authenticator
Authentication frameworks supporting one-time-use links or tokens (e.g., Auth0, Firebase Authentication)
ASP.NET Identity (for secure management of authentication and password recovery)</t>
  </si>
  <si>
    <t>The use of password hints or knowledge-based questions ("secret questions") is widely considered insecure, as these practices are vulnerable to social engineering attacks and the collection of public information. In the context of AMAP, this helps mitigate threats such as "Identity spoofing for unauthorized access" (8.0) and "Access to sensitive user information" (7.8). Replacing these practices with more secure methods, such as multifactor authentication (MFA) or password recovery links sent via secure channels, significantly improves system security and aligns with best practices recommended by OWASP and GDPR requirements</t>
  </si>
  <si>
    <t>Authentication frameworks that do not use security questions (e.g., Auth0, Firebase Authentication)
MFA implementation (e.g., TOTP, FIDO2)
Secure password recovery APIs with one-time-use links (e.g., AWS Cognito, Okta)
ASP.NET Identity (supports MFA and secure password recovery via secure links)</t>
  </si>
  <si>
    <t>Ensuring that the password recovery process does not reveal the current password is essential to protect AMAP users from threats such as "Access to sensitive user information" (7.8) and "Unauthorized exposure of sensitive data" (7.6). Displaying or sending the current password compromises security, especially if the credentials are intercepted or viewed by third parties. Instead, the system should allow secure password resets using one-time-use links or temporary codes sent via secure channels. This practice aligns with security best practices and GDPR requirements to protect personal data.</t>
  </si>
  <si>
    <t>ASP.NET Core Authorization</t>
  </si>
  <si>
    <t>Secure password reset APIs (e.g., AWS Cognito, Firebase Authentication)
Implementation of one-time-use password reset links
Authentication frameworks that support password recovery without exposing the current password (e.g., Auth0, Okta)
ASP.NET Identity (supports secure password reset with no exposure of current password)
Secure communication protocols (TLS 1.2 or higher) for sending reset instructions</t>
  </si>
  <si>
    <t>The presence of shared or default accounts, such as "root", "admin", or "sa", represents a significant risk for AMAP, as it facilitates attacks such as "Privilege escalation from CoProducer to Producer/Manager" (7.6) and "Unauthorized access to control features" (7.2). These accounts are often targets for brute force attacks or exploitation of default credentials. To mitigate these risks, it is essential to disable or remove default accounts and ensure that each user has unique, traceable credentials. This practice aligns with security best practices and helps comply with GDPR requirements for protecting personal data and ensuring accountability in access.</t>
  </si>
  <si>
    <t>Identity and Access Management (IAM) tools to disable default accounts
Regular system account and permission audits
Authentication frameworks that require unique credentials for each user (e.g., Keycloak, Okta)
ASP.NET Identity (supports the enforcement of unique credentials for each user)
Security policies prohibiting the use of shared accounts</t>
  </si>
  <si>
    <t>ASP.NET Core</t>
  </si>
  <si>
    <t>Notifying users when an authentication factor is changed or replaced is essential to protect AMAP against threats like "Identity spoofing for unauthorized access" (8.0) and "Privilege escalation from CoProducer to Producer/Manager" (7.6). This practice allows users to detect unauthorized activities in their accounts and take immediate action, such as blocking access or resetting credentials. The notification should be sent through a secure and reliable channel, such as email or SMS, and include sufficient information for the user to recognize the action without exposing sensitive details. This measure aligns with security best practices and the GDPR requirements to protect personal data.</t>
  </si>
  <si>
    <t>Secure notification APIs (e.g., Twilio, AWS SNS, SendGrid)
Authentication frameworks with support for notification events (e.g., Auth0, Firebase Authentication, ASP.NET Identity)
Audit logs to track authentication factor changes
Secure communication protocols (TLS 1.2 or higher) for sending notifications</t>
  </si>
  <si>
    <t>The use of secure password recovery mechanisms, such as TOTP, software tokens, push notifications, or offline methods, is essential to protect AMAP against threats like "Identity spoofing for unauthorized access" (8.0) and "Credentials interception during transmission" (7.8). These methods ensure that only the legitimate user can regain access to the account, even if other channels are compromised. Additionally, they prevent the exposure of sensitive information during the recovery process. This practice aligns with security best practices and GDPR requirements to protect personal data.</t>
  </si>
  <si>
    <t>TOTP implementations (e.g., Google Authenticator, Microsoft Authenticator)
Secure push notification APIs (e.g., Firebase Cloud Messaging, OneSignal)
Authentication frameworks with support for secure recovery (e.g., Auth0, Okta, ASP.NET Identity)
Secure communication protocols (TLS 1.2 or higher) for sending recovery codes or links</t>
  </si>
  <si>
    <t>Ensuring that identity proofing is conducted at the same level as the initial enrollment process when recovering lost authentication factors is essential to protect AMAP against threats like "Identity spoofing for unauthorized access" (8.0) and "Privilege escalation from CoProducer to Producer/Manager" (7.6). This requirement prevents attackers from exploiting recovery processes to gain unauthorized access. The user's identity should be verified using secure methods, such as document validation, biometric verification, or other trusted factors, ensuring that the security level remains consistent. This practice aligns with security best practices and GDPR requirements to protect personal data.</t>
  </si>
  <si>
    <t>Identity verification APIs (e.g., Onfido, Jumio)
Authentication frameworks with support for secure recovery (e.g., Auth0, Okta, ASP.NET Identity)
Biometric verification methods (e.g., facial recognition, fingerprinting)
Audit logs to track and validate recovery processes</t>
  </si>
  <si>
    <t>Ensuring that lookup secrets are one-time use is essential to protect AMAP against reuse attacks, such as "Identity spoofing for unauthorized access" (8.0) and "Interception of credentials during transmission" (7.8). One-time use lookup secrets, like recovery codes or OTPs, prevent an attacker from reusing compromised credentials. After use, the secret should be immediately invalidated to ensure it cannot be exploited again. This practice aligns with security best practices and helps comply with GDPR requirements for protecting personal data.</t>
  </si>
  <si>
    <t>OTP implementations based on TOTP or HOTP (e.g., Google Authenticator, Microsoft Authenticator)
Authentication frameworks that support one-time use codes (e.g., Auth0, Firebase Authentication, ASP.NET Identity)
Token management systems with support for invalidation after use
Audit logs to monitor and validate the use of lookup secrets</t>
  </si>
  <si>
    <t>Ensuring that lookup secrets are resistant to offline attacks, such as predictable values, is essential to protect AMAP against threats like "Interception of credentials during transmission" (7.8) and "Access to sensitive user information" (7.8). Lookup secrets should be generated cryptographically securely, using approved random number generators, to prevent attackers from predicting or guessing the values. Additionally, secrets should be stored securely using hashing with salting, to make brute force attacks more difficult in case they are compromised. This practice aligns with security best practices and GDPR requirements for protecting personal data.</t>
  </si>
  <si>
    <t>Cryptographically secure random number generators (CSPRNG) to create unpredictable secrets
Approved hashing libraries (e.g., Argon2, bcrypt, SHA-256 with salting)
Authentication frameworks that support secure generation and storage of secrets (e.g., Auth0, Firebase Authentication, ASP.NET Identity)
Regular audits to verify the unpredictability and security of lookup secrets</t>
  </si>
  <si>
    <t>Avoiding the use of out-of-band authenticators in plain text, such as SMS or PSTN, by default is crucial to protect the AMAP from threats like "Credential interception during transmission" (7.8) and "Identity spoofing for unauthorized access" (8.0). These methods are vulnerable to attacks such as SIM swapping and message interception. Safer alternatives, like authenticated push notifications or TOTP, should be prioritized to ensure better protection. This practice aligns with NIST recommendations and security best practices, in addition to helping comply with GDPR requirements to protect personal data.</t>
  </si>
  <si>
    <t>Secure push notification APIs (e.g., Firebase Cloud Messaging, OneSignal)
TOTP implementations (e.g., Google Authenticator, Microsoft Authenticator)
Authentication frameworks that prioritize secure methods (e.g., Auth0, Okta, ASP.NET Core Identity)
Regular audits to ensure insecure methods are not configured as defaults</t>
  </si>
  <si>
    <t>Ensuring that out-of-band verifiers expire requests, codes, or tokens after 10 minutes is essential to protect AMAP against threats like "Credential interception during transmission" (7.8) and "Identity spoofing to gain unauthorized access" (8.0). Limiting the validity period reduces the opportunity window for attackers to exploit compromised or intercepted codes. Additionally, this practice enhances the overall security of the system by minimizing the impact of exposed temporary credentials. It aligns with best security practices and the GDPR requirements to protect personal data.</t>
  </si>
  <si>
    <t>Authentication frameworks supporting token expiration (e.g., Auth0, Firebase Authentication, ASP.NET Core Identity)
Token management APIs with configurable expiration times (e.g., OAuth2, JWT)
Regular audits to check compliance with configured expiration times
Audit logs to monitor the usage and expiration of codes or tokens</t>
  </si>
  <si>
    <t>Key and password rotation processes mitigate the impact of compromise (risks 5.1 I, 3.3 I).</t>
  </si>
  <si>
    <t>Azure Key Vault, rotation scripts</t>
  </si>
  <si>
    <t>Azure Key Vault, AWS Secrets Manager.</t>
  </si>
  <si>
    <t>Azure Key Vault, AWS KMS</t>
  </si>
  <si>
    <t>A clear key management policy reduces risks of exposure and misuse (risks 5.1 I, 3.3 I). It is recommended to follow NIST SP 800-57.</t>
  </si>
  <si>
    <t>Storing secrets in vaults prevents accidental exposure and attacks (risks 5.1 I, 3.3 I).</t>
  </si>
  <si>
    <t>Ensuring that out-of-band authentication requests, codes, or tokens are single-use and linked to the original request is essential to protect AMAP against reuse attacks, such as "Identity spoofing to gain unauthorized access" (8.0) and "Credential interception during transmission" (7.8). Reusable tokens or tokens that are not linked to the original request can be exploited by attackers to gain unauthorized access. Implementing verifiers that automatically invalidate tokens after use or expiration ensures greater security. This practice aligns with best security practices and GDPR requirements for protecting personal data.</t>
  </si>
  <si>
    <t>Authentication frameworks that support one-time use tokens (e.g., Auth0, Firebase Authentication, ASP.NET Identity)
Token management APIs with context binding support (e.g., OAuth2, JWT, ASP.NET Identity)
Audit logs to track and validate token usage
Implementation of verifiers that invalidate tokens after use or expiration (e.g., ASP.NET Identity)s</t>
  </si>
  <si>
    <t>Default logging in ASP.NET Core</t>
  </si>
  <si>
    <t xml:space="preserve"> Using a common log format facilitates analysis and incident detection (risks 4.3 R, 5.1 I).</t>
  </si>
  <si>
    <t>Securely transmitting logs to a remote system reduces the risk of tampering or loss of evidence (risks 4.3 R, 5.1 I).</t>
  </si>
  <si>
    <t>Solutions like ELK Stack, Azure Monitor, or remote syslog.</t>
  </si>
  <si>
    <t>Ensuring that the out-of-band authenticator and verifier communicate over a secure and independent channel is essential to protect the AMAP from threats like "Credential interception during transmission" (7.8) and "Identity spoofing to gain unauthorized access" (8.0). An independent and secure channel, such as authenticated push notifications or dedicated apps, reduces the risk of interception or manipulation of data by attackers. Additionally, using secure protocols, such as TLS, ensures the confidentiality and integrity of communication. This practice aligns with best security practices and GDPR requirements to protect personal data.</t>
  </si>
  <si>
    <t>Secure push notification APIs (e.g., Firebase Cloud Messaging, OneSignal)
Independent channel implementations, such as authenticator apps (e.g., Google Authenticator, Microsoft Authenticator)
Secure communication protocols (TLS 1.2 or higher)
Regular audits to verify the security of the communication channels used
ASP.NET Identity for secure authentication and user credential management</t>
  </si>
  <si>
    <t>Storing only a hashed version of the out-of-band authentication code is essential to protect the AMAP from attacks such as "Access to sensitive user information" (7.8) and "Credential interception during transmission" (7.8). This ensures that even if storage is compromised, the original codes cannot be retrieved or reused. The hash should be generated using a secure, approved hashing function such as SHA-256 and ideally combined with a unique salt for added protection. This practice aligns with best security practices and GDPR requirements to protect personal data.</t>
  </si>
  <si>
    <t>Secure hashing libraries (e.g., bcrypt, Argon2, SHA-256 with salting)
Authentication frameworks that support secure storage of codes (e.g., Auth0, Firebase Authentication)
Regular audits to ensure only hashed codes are stored
Audit logs to monitor the use and validity of hashed codes
ASP.NET Identity for secure storage and management of authentication codes</t>
  </si>
  <si>
    <t>Ensuring that the initial authentication code is generated by a cryptographically secure random number generator (CSPRNG) with at least 20 bits of entropy is essential to protect the AMAP from attacks such as "Identity spoofing to gain unauthorized access" (8.0) and "Credential interception during transmission" (7.8). A code with 20 bits of entropy (such as a six-digit random number) is sufficiently unpredictable to resist brute-force attacks. This practice aligns with best security practices and GDPR requirements to protect personal data.</t>
  </si>
  <si>
    <t>Cryptographically secure random number generators (CSPRNG) (e.g., System.Security.Cryptography.RandomNumberGenerator in .NET)
Authentication frameworks that support secure code generation (e.g., Auth0, Firebase Authentication)
Regular audits to verify the entropy and security of generated codes
Audit logs to monitor the use and validity of authentication codes
ASP.NET Identity for securely generating and managing authentication codes</t>
  </si>
  <si>
    <t>Ensuring that time-based one-time passwords (TOTP) have a defined lifespan before expiration is essential to protect the AMAP from attacks such as "Credential interception during transmission" (7.8) and "Identity spoofing to gain unauthorized access" (8.0). A short lifespan (typically 30 seconds) reduces the opportunity for an attacker to use an intercepted code. This practice improves the overall security of the system and aligns with best security practices and GDPR requirements to protect personal data.</t>
  </si>
  <si>
    <t>TOTP implementations (e.g., Google Authenticator, Microsoft Authenticator)
Authentication frameworks that support TOTP with expiration time configuration (e.g., Auth0, Okta)
Regular audits to verify compliance with configured expiration times
ASP.NET Identity for managing and configuring TOTP expiration times securely</t>
  </si>
  <si>
    <t>Protecting the symmetric keys used to verify OTPs is essential to avoid compromises that could lead to attacks such as "Identity spoofing to gain unauthorized access" (8.0) and "Co-Producer privilege escalation to Producer/Manager" (7.6). The use of hardware security modules (HSMs) or OS-based secure storage (such as Windows DPAPI or Android Keystore) ensures that keys remain inaccessible to attackers, even in the event of a partial system compromise. This practice aligns with best security practices and GDPR requirements to protect sensitive data.</t>
  </si>
  <si>
    <t>Hardware Security Modules (HSMs) (e.g., AWS CloudHSM, Azure Key Vault HSM)
OS-based secure storage (e.g., Windows DPAPI, Android Keystore, Apple Secure Enclave)
Authentication frameworks that support secure key management (e.g., Auth0, Firebase Authentication)
Regular audits to verify the protection and secure management of symmetric keys
ASP.NET Identity for securely managing OTP verification keys</t>
  </si>
  <si>
    <t>The use of approved cryptographic algorithms for the generation, initialization (seeding), and verification of OTPs is essential to protect the AMAP against attacks such as "Credential interception during transmission" (7.8) and "Identity spoofing to gain unauthorized access" (8.0). Algorithms like HMAC-SHA1, HMAC-SHA256, or HMAC-SHA512, as specified in RFC 6238 (for TOTP) and RFC 4226 (for HOTP), ensure the security and integrity of OTPs. Using unapproved or insecure algorithms could compromise the system's resistance to attacks. This practice aligns with best security practices and GDPR requirements to protect personal data.</t>
  </si>
  <si>
    <t>Authentication frameworks that support approved cryptographic algorithms (e.g., Auth0, Okta)
Regular audits to verify compliance with approved cryptographic algorithms
Security analysis tools to validate the implementation of cryptographic algorithms
ASP.NET Identity for implementing secure OTP generation and verification algorithms</t>
  </si>
  <si>
    <t>Ensuring that time-based OTPs (TOTP) can only be used once within their validity period is essential to protect the AMAP against reuse attacks, such as "Identity spoofing to gain unauthorized access" (8.0) and "Credential interception during transmission" (7.8). Even if an attacker intercepts a valid OTP, the restriction of one-time use prevents it from being reused to compromise the account. This practice enhances the overall security of the system and aligns with best security practices and GDPR requirements to protect personal data.</t>
  </si>
  <si>
    <t>Authentication frameworks that support single-use control for TOTP (e.g., Auth0, Firebase Authentication)
Audit logs to monitor and validate the one-time use of OTPs
Token management systems that invalidate OTPs after use
ASP.NET Identity for managing secure OTP usage and validation</t>
  </si>
  <si>
    <t>Ensuring that the reuse of a time-based OTP (TOTP) within its validity period is logged, rejected, and notified to the device holder is essential to protect the AMAP against reuse attacks, such as "Identity spoofing to gain unauthorized access" (8.0). Logging the event allows for audits and investigations, while rejecting the token prevents unauthorized access. Notifying the user securely (via email or push notification) raises awareness of potential attack attempts and enables immediate corrective actions. This practice aligns with best security practices and GDPR requirements to protect personal data.</t>
  </si>
  <si>
    <t>GitHub</t>
  </si>
  <si>
    <t>Authentication frameworks that support rejection and logging of OTP reuse (e.g., Auth0, Firebase Authentication)
Secure notification APIs (e.g., Twilio, Firebase Cloud Messaging)
Audit logs to monitor OTP reuse attempts
Secure communication protocols (TLS 1.2 or higher) for sending notifications
ASP.NET Identity for managing OTP reuse prevention, logging, and notifications</t>
  </si>
  <si>
    <t>Ensuring that physical one-factor OTP generators can be revoked in case of theft or loss is essential to protect the AMAP from unauthorized access, mitigating threats such as "Identity spoofing to gain unauthorized access" (8.0). Immediate revocation, effective across all active sessions, prevents the compromised device from being used for authentication, regardless of its location. This requirement enhances the overall security of the system and aligns with best security practices and GDPR requirements to protect personal data.</t>
  </si>
  <si>
    <t>Authentication device management systems (e.g., Okta, Auth0)
Token and session revocation APIs (e.g., OAuth2, OpenID Connect)
Audit logs to track revocations and subsequent access
Authentication frameworks supporting immediate device revocation (e.g., Firebase Authentication, Keycloak)
ASP.NET Identity for managing device revocation and ensuring session invalidation</t>
  </si>
  <si>
    <t>Code review, dependency analysis</t>
  </si>
  <si>
    <t>CI/CD (GitHub Actions, Azure DevOps), validation scripts</t>
  </si>
  <si>
    <t>Ensuring that biometric authenticators are used only as secondary factors, combined with something the user possesses (e.g., physical device) and something they know (e.g., password), is essential to protect the AMAP against attacks such as "Identity spoofing to gain unauthorized access" (8.0). Biometrics alone are not sufficient, as they can be compromised (e.g., copies of fingerprints or facial recognition). The combination of multiple factors strengthens security and reduces the risk of unauthorized access. This practice aligns with best security practices and GDPR requirements to protect personal data.</t>
  </si>
  <si>
    <t>Multi-factor authentication frameworks that support biometrics as a secondary factor (e.g., Auth0, Okta)
Authentication management systems requiring multiple factors (e.g., Keycloak, Firebase Authentication)
Regular audits to ensure compliance with multi-factor authentication policies
ASP.NET Identity for integrating multi-factor authentication with biometrics as a secondary factor</t>
  </si>
  <si>
    <t>Ensuring that cryptographic keys used in verification are stored securely is essential to protect the AMAP against attacks such as "Unauthorized access to control functionalities" (7.2) and "Identity spoofing to gain unauthorized access" (8.0). The use of security modules, such as TPMs, HSMs, or secure storage services based on the operating system (e.g., Windows DPAPI, Android Keystore), protects the keys from extraction or disclosure, even in the event of partial system compromise. This practice aligns with best security practices and GDPR requirements to protect sensitive data.</t>
  </si>
  <si>
    <t xml:space="preserve"> Automating and verifying deployment reduces manual errors and insecure configuration risks (risks 4.3 R, 5.1 I).</t>
  </si>
  <si>
    <t>Trusted Platform Module (TPM) for secure key storage
Hardware Security Modules (HSMs) (e.g., AWS CloudHSM, Azure Key Vault HSM)
Secure storage services based on the operating system (e.g., Android Keystore, Apple Secure Enclave, Windows DPAPI)
Authentication frameworks that support integration with secure storage (e.g., Auth0, Firebase Authentication)
ASP.NET Identity for secure key storage and management in authentication systems</t>
  </si>
  <si>
    <t>Ensuring that the challenge nonce is at least 64 bits in length and statistically unique or unique during the lifetime of the cryptographic device is essential to protect the AMAP against replay attacks and spoofing. Unique nonces ensure that each cryptographic operation is distinct, preventing an attacker from reusing previous messages or responses. The use of cryptographically secure random number generators (CSPRNG) to create nonces is a recommended practice. This measure aligns with best security practices and helps protect sensitive data in compliance with the GDPR.</t>
  </si>
  <si>
    <t>Cryptographically Secure Random Number Generators (CSPRNG) (e.g., System.Security.Cryptography.RandomNumberGenerator in .NET)
Cryptographic APIs that support the generation of unique nonces (e.g., OpenSSL, BouncyCastle)
Authentication frameworks that use secure nonces (e.g., OAuth2, OpenID Connect)
ASP.NET Identity for nonce generation in authentication processes
Regular audits to verify the uniqueness and security of generated nonces</t>
  </si>
  <si>
    <t>Transparent Data Encryption (TDE) in SQL Server, Always Encrypted, or encryption at the application level.</t>
  </si>
  <si>
    <t xml:space="preserve"> Ensuring the use of approved cryptographic algorithms for generation, initialization (seeding), and verification is essential to protect the AMAP from attacks such as "Credential interception during transmission" (7.8) and "Identity spoofing for unauthorized access" (8.0). Algorithms such as AES, RSA, HMAC-SHA256, HMAC-SHA512, and others approved by standards like NIST or recommended by OWASP guarantee the security and integrity of the data. The use of unapproved or obsolete algorithms can compromise the system's resistance to attacks. This practice aligns with security best practices and helps protect sensitive data in compliance with GDPR.</t>
  </si>
  <si>
    <t>Secure cryptographic libraries (e.g., OpenSSL, BouncyCastle, PyCryptodome)
ASP.NET Core Identity: Provides authentication and data protection services, utilizing secure algorithms like HMAC-SHA256 for token signing and AES for data encryption, ensuring the use of approved cryptographic algorithms.
Frameworks supporting approved cryptographic algorithms (e.g., Auth0, Firebase Authentication)
Regular audits to verify compliance with approved cryptographic algorithms
Security analysis tools to validate the implementation of cryptographic algorithms</t>
  </si>
  <si>
    <t>Avoiding the use of static and unchangeable credentials, such as passwords, API keys, or shared accounts with privileged access, is crucial to protect the AMAP from threats like "Unauthorized access to control functionalities" (7.2) and "Identity spoofing for unauthorized access" (8.0). Static credentials are vulnerable to brute-force attacks, reuse, and compromise. Instead, it is recommended to use dynamic mechanisms, such as short-lived tokens (OAuth2), certificate-based authentication, or automatic credential rotation systems. This practice reduces the risk of compromise and is aligned with security best practices and GDPR requirements.</t>
  </si>
  <si>
    <t>Secret Management (e.g., HashiCorp Vault, AWS Secrets Manager, Azure Key Vault)
Dynamic Access Tokens (e.g., OAuth2 with JWT)
Automatic Credential Rotation through CI/CD tools (e.g., Jenkins, GitHub Actions)
Authentication Frameworks that support short-lived tokens (e.g., Keycloak)</t>
  </si>
  <si>
    <t>The use of default credentials for service accounts poses a significant risk to the AMAP, especially considering threats like "Identity spoofing for unauthorized access" (8.0) and "Unauthorized access to control functionalities" (7.2). Default credentials are widely known and often exploited by attackers to compromise systems. Ensuring that these credentials are changed during the initial configuration of the service is essential to mitigate this risk. This practice is aligned with security best practices and GDPR requirements to protect sensitive data.</t>
  </si>
  <si>
    <t>Automated configuration scripts to enforce the change of default credentials during installation.
Security auditing tools to detect default credentials (e.g., Nessus, OpenVAS).
Service account management with unique and secure credentials (e.g., HashiCorp Vault, AWS Secrets Manager).</t>
  </si>
  <si>
    <t>Storing passwords with sufficient protection to prevent offline attacks, such as brute force or dictionary attacks, is essential for the AMAP, considering threats like "Interception of credentials during transmission" (7.8) and "Access to sensitive user information" (7.8). Passwords should be stored using secure hashing algorithms such as bcrypt, Argon2, or PBKDF2, with salting and an appropriate cost factor. This ensures that even in the case of local system access, passwords cannot be easily retrieved. This practice aligns with best security practices and GDPR requirements for protecting personal data.</t>
  </si>
  <si>
    <t>Secure hashing libraries (e.g., bcrypt, Argon2, PBKDF2).
Authentication frameworks supporting secure hashing (e.g., ASP.NET Identity).
Regular audits to verify compliance with secure password storage policies.</t>
  </si>
  <si>
    <t>Managing passwords, API keys, seeds, and internal secrets securely is crucial to protect the AMAP from threats such as "Unauthorized access to control features" (7.2) and "Identity spoofing for unauthorized access" (8.0). Storing these secrets in the source code or repositories exposes the system to offline attacks, especially if the repository is compromised. Using tools such as secret managers (e.g., HashiCorp Vault, AWS Secrets Manager) or secure hardware devices (e.g., HSMs, TPMs) ensures that secrets are protected from unauthorized access. This practice aligns with best security practices and GDPR requirements to protect sensitive data.</t>
  </si>
  <si>
    <t>Secret managers (e.g., HashiCorp Vault, AWS Secrets Manager, Azure Key Vault).
Hardware Security Modules (HSMs) (e.g., AWS CloudHSM, Azure Key Vault HSM).
Secure software key stores (e.g., Docker Secrets, Kubernetes Secrets).
Code analysis tools to detect secrets in repositories (e.g., GitGuardian, TruffleHog).</t>
  </si>
  <si>
    <t>ASP.NET Core Identity</t>
  </si>
  <si>
    <t xml:space="preserve">Password Security -Pedro Vilarinho </t>
  </si>
  <si>
    <t>The Identity configuration is done in Program.cs, "builder.Services.AddIdentity&lt;AppUser, IdentityRole&gt;()
    .AddEntityFrameworkStores&lt;AppDbContext&gt;()
    .AddDefaultTokenProviders();" and the AppUser inherits from IdentityUser, that includes all the fields for a secure management of passwords.</t>
  </si>
  <si>
    <t>In Program.cs we have "// Configure password hasher with explicit salt size and security parameters
builder.Services.Configure&lt;PasswordHasherOptions&gt;(options =&gt;
{
    // Salt size is 128 bits (16 bytes) - exceeds OWASP requirement of minimum 32 bits
    // Each user gets a unique random salt to prevent salt collisions
    options.IterationCount = 100000; // OWASP C6: PBKDF2 iteration count set to 100,000 as recommended
    options.CompatibilityMode = PasswordHasherCompatibilityMode.IdentityV3; // Uses PBKDF2 with HMAC-SHA256
});", that uses PasswordHasherCompatibilityMode, that specifies the format used for hashing passwords.</t>
  </si>
  <si>
    <t>In Program.cs we have "// Configure password hasher with explicit salt size and security parameters
builder.Services.Configure&lt;PasswordHasherOptions&gt;(options =&gt;
{
    // Salt size is 128 bits (16 bytes) - exceeds OWASP requirement of minimum 32 bits
    // Each user gets a unique random salt to prevent salt collisions
    options.IterationCount = 100000; // OWASP C6: PBKDF2 iteration count set to 100,000 as recommended
    options.CompatibilityMode = PasswordHasherCompatibilityMode.IdentityV3; // Uses PBKDF2 with HMAC-SHA256
});", and this code shows the implementation of PBKDF2 (through Identity), the iteration count of 100000 as recommended by OWASP and the explicit documentation of the security parameters.</t>
  </si>
  <si>
    <t xml:space="preserve">Our current PBKDF2 implementation already meets all these requirements, so we don't need to switch to bcrypt.  </t>
  </si>
  <si>
    <t>General Authenticator Security - Diogo Costa</t>
  </si>
  <si>
    <t>This requirement is satisfied, because there are no password hints or knowledge-based authentication (secret questions) implemented in the system.</t>
  </si>
  <si>
    <t>We have Password Recovery Flow in AccountController.cs: // Step 1: Request Password Reset
   [HttpPost("forgot-password")]
   public async Task&lt;IActionResult&gt; ForgotPassword([FromBody] ForgotPasswordViewModel model)
   {
       // Generate token only for existing users
       var token = await _userManager.GeneratePasswordResetTokenAsync(user);
   }
   // Step 2: Reset Password
   [HttpPost("reset-password")]
   public async Task&lt;IActionResult&gt; ResetPassword([FromBody] ResetPasswordViewModel model)
   {
       // Verify token and reset password
       var isValid = await _userManager.VerifyUserTokenAsync(user, ...);
       var result = await _userManager.ResetPasswordAsync(user, model.Token, model.NewPassword);
   }</t>
  </si>
  <si>
    <t>This requirement is done, we had Bootstrap Accounts with the default names, that are removed for safer architecture.</t>
  </si>
  <si>
    <t>Ao longo de todos os sprints do projeto, a equipa tem realizado uma identificação contínua e sistemática dos aspetos de segurança relevantes para cada fase do desenvolvimento. Esta prática assegura que a segurança é considerada desde a conceção até à implementação, alinhando-se com as melhores práticas de um ciclo de vida de desenvolvimento seguro (SDLC). A modelação de ameaças, análise de riscos e definição de contramedidas são atividades integradas nas reuniões de planeamento e revisões, garantindo que potenciais vulnerabilidades são antecipadas e tratadas atempadamente.</t>
  </si>
  <si>
    <t>A modelação de ameaças foi realizada na Fase 1 do projeto e continuará a ser efetuada nas fases seguintes e em cada alteração de design ou sprint, garantindo a identificação e mitigação contínua dos riscos de segurança.</t>
  </si>
  <si>
    <t>Para cada elemento do Diagrama de Fluxo de Dados (DFD) foram elaborados casos de abuso, identificando vetores de ataque e agentes de ameaça associados. Além disso, todas as user stories e funcionalidades incorporam restrições funcionais de segurança, assegurando que os requisitos de proteção são considerados desde a definição das funcionalidades.</t>
  </si>
  <si>
    <t>Foram elaborados Diagramas de Fluxo de Dados (DFD) que indicam claramente as fronteiras de confiança, as ameaças associadas e o fluxo dos dados significativos no sistema. Esta documentação permite uma melhor compreensão e análise dos pontos críticos de segurança.</t>
  </si>
  <si>
    <t>Elaborámos diagramas de componentes e Diagramas de Fluxo de Dados (DFDs) e verificámos que a arquitetura do projeto não incluía Data Transfer Objects (DTOs). Por essa razão, a implementação dos DTOs foi realizada neste Sprint 1 da Fase 2, garantindo uma definição mais clara e segura da arquitetura de alto nível e dos serviços remotos associados.</t>
  </si>
  <si>
    <t>OWASP ASVS, GIT HUB</t>
  </si>
  <si>
    <t>Estamos a usar o ASVS como referência de segurança, integrado na pipeline de desenvolvimento e com revisões de código regulares, para garantir que todos seguem boas práticas de codificação segura.</t>
  </si>
  <si>
    <t>Utilizamos sempre a mesma biblioteca para funções específicas, como autenticação e validação, garantindo a reutilização de código e a implementação de controlos de segurança centralizados, simples e seguros em todo o projeto.</t>
  </si>
  <si>
    <t>Credentials Storage - Pedro Costa</t>
  </si>
  <si>
    <t>Credential Recovery - Pedro Costa</t>
  </si>
  <si>
    <t>Program.cs (lines 63-68):
// Configuração das roles de autorização
builder.Services.AddAuthorization(options =&gt;
{
    options.AddPolicy("Manager", policy =&gt; policy.RequireRole("Manager"));
    options.AddPolicy("Producer", policy =&gt; policy.RequireRole("Producer"));
    options.AddPolicy("CoProducer", policy =&gt; policy.RequireRole("CoProducer"));
});
PaymentController.cs (line 11):
[Authorize(Roles = nameof(UserType.CoProducer))]
DeliveryBc.cs (lines 29-33):
// Verificar se o produtor atual tem permissão
if (subscription.ProductOffer == null ||
    subscription.ProductOffer.Product.ProducerId != currentProducerId)
    throw new UnauthorizedAccessException("You are not allowed to update this subscription.");</t>
  </si>
  <si>
    <t>Requisito aplicado com controlo de acesso central no backend: uso de [Authorize] no controller e validação adicional na camada de business.</t>
  </si>
  <si>
    <t>No estado atual, a pipeline CI/CD garante que as fases de build, teste e análise são executadas com permissões mínimas, conforme os runners da GitHub. No entanto, o passo de deploy ainda não está configurado para um ambiente real. Na fase seguinte, será necessário garantir que, em produção, os serviços correm com utilizadores com permissões limitadas</t>
  </si>
  <si>
    <t>Ainda não está completo, falta fazer o deploy na pipeline</t>
  </si>
  <si>
    <t>appsettings.json: "ConnectionStrings": {
  "DefaultConnection": "Server=myserver;Database=mydb;User Id=myuser;Password=mypassword;"
}</t>
  </si>
  <si>
    <t>A comunicação entre a aplicação e a base de dados é autenticada via connection string com credenciais específicas.</t>
  </si>
  <si>
    <t>Obtém ID do utilizador autenticado via claims do token — evita manipulação pelo cliente.</t>
  </si>
  <si>
    <t>using Microsoft.AspNetCore.Mvc;
using System.Security.Claims;
namespace AMAP.Api.Controllers
{
    public class BaseController : Controller
    {
        protected string GetLoggedId() =&gt; User.Claims.FirstOrDefault(c =&gt; c.Type.Equals(ClaimTypes.NameIdentifier))?.Value;
    }
}</t>
  </si>
  <si>
    <t>ASP.NET Core Identity / JWT Middleware (System.Security.Claims)</t>
  </si>
  <si>
    <t>Acesso restrito a utilizadores com o papel "Manager" — segue o princípio do menor privilégio.</t>
  </si>
  <si>
    <t>[Authorize(Roles = nameof(UserType.Manager))]
[HttpPost()]
public async Task&lt;IActionResult&gt; CreateSubscriptionPeriodAndDeliveryDate([FromBody] SubscriptionPeriod subscriptionPeriod)
{
    try
    {
        var created = await _subscriptionPeriodBc.CreateSubscriptionPeriodAndDeliveryDateAsync(subscriptionPeriod);
        return CreatedAtAction(nameof(GetSubscriptionPeriodById), new { id = created.Id }, created);
    }
    catch (ArgumentException ex)
    {
        return BadRequest(new { message = ex.Message });
    }
    catch (InvalidOperationException ex)
    {
        return BadRequest(new { message = ex.Message });
    }
}</t>
  </si>
  <si>
    <t>Atualmente, a aplicação utiliza autenticação baseada em cookies com o ASP.NET Core Identity, um mecanismo seguro e extensível. Embora o sistema ainda não tenha um mecanismo de monitorização ativo, a arquitetura permite integrar facilmente logging e auditoria de acessos, através de ILogger, Application Insights, Serilog, ou outros sistemas compatíveis com .NET. A monitorização será considerada numa fase posterior do projeto.</t>
  </si>
  <si>
    <t>Falha de autenticação devolve 401 — controlo de acesso falha de forma segura.</t>
  </si>
  <si>
    <t>Colocar posteriormente logging para monitorizar.                         Program.cs:                                      Autenticação por cookie:
builder.Services.ConfigureApplicationCookie(options =&gt; {
    ...
    options.Cookie.SecurePolicy = CookieSecurePolicy.Always;
    options.Cookie.SameSite = SameSiteMode.Strict;
});                                                              
Suporte a roles e política de autorização:
builder.Services.AddAuthorization(options =&gt; {
    options.AddPolicy("Manager", policy =&gt; policy.RequireRole("Manager"));
});
Suporte a extensibilidade via Identity:
builder.Services.AddIdentity&lt;AppUser, IdentityRole&gt;()
    .AddEntityFrameworkStores&lt;AppDbContext&gt;()
    .AddDefaultTokenProviders();</t>
  </si>
  <si>
    <t>Mecanismo de autenticação unificado e seguro com base em cookies.</t>
  </si>
  <si>
    <t>//ProductController.cs  [HttpGet("export-to-file")]
public IActionResult ExportProductsToFile()
{
    var producerId = User.Claims.FirstOrDefault(c =&gt; c.Type == ClaimTypes.NameIdentifier)?.Value;
    if (string.IsNullOrEmpty(producerId))
    {
        return Unauthorized(new { message = "Producer not authenticated" });
    }</t>
  </si>
  <si>
    <t>Program.cs:               builder.Services.AddIdentity&lt;AppUser, IdentityRole&gt;()
    .AddEntityFrameworkStores&lt;AppDbContext&gt;()
    .AddDefaultTokenProviders();
builder.Services.ConfigureApplicationCookie(options =&gt;
{
    options.LoginPath = "/api/account/login";
    options.LogoutPath = "/api/account/logout";
    options.SlidingExpiration = true;
    options.Cookie.SecurePolicy = CookieSecurePolicy.Always;
    options.Cookie.SameSite = SameSiteMode.Strict;
});</t>
  </si>
  <si>
    <t>Protege a operação de DELETE com verificação do utilizador autenticado — previne IDOR.</t>
  </si>
  <si>
    <t xml:space="preserve">Relatório Fase 1 </t>
  </si>
  <si>
    <t>ASP.NET Core Claims-based Authorization (via System.Security.Claims)</t>
  </si>
  <si>
    <t>//ProductController.cs  [HttpDelete("{id}")]
public IActionResult DeleteProduct(int id)
{
    var producerId = User.Claims.FirstOrDefault(c =&gt; c.Type.Equals(ClaimTypes.NameIdentifier))?.Value;
    try
    {
        _productBc.DeleteProduct(id, producerId);
        return NoContent();
    }
    catch (ArgumentException ex)
    {
        return BadRequest(new { message = ex.Message });
    }
    catch (KeyNotFoundException ex)
    {
        return NotFound(new { message = ex.Message });
    }
}</t>
  </si>
  <si>
    <t xml:space="preserve"> Fase 2 - Sprint 1 --&gt; DTOS implementados</t>
  </si>
  <si>
    <t xml:space="preserve">Fase 2 - Sprint 1 </t>
  </si>
  <si>
    <t>Controlos de acesso aplicados exclusivamente no backend, usando middleware de autenticação/autorização e atributos [Authorize]. O frontend não valida permissões.</t>
  </si>
  <si>
    <t>ASP.NET Core Identity, Middleware ASP.NET Core</t>
  </si>
  <si>
    <t>Program.cs and SubscriptionPeriodController.cs:        // Em Program.cs:  builder.Services.AddIdentity&lt;AppUser, IdentityRole&gt;()
    .AddEntityFrameworkStores&lt;AppDbContext&gt;()
    .AddDefaultTokenProviders();
// Configuração das policies:
builder.Services.AddAuthorization(options =&gt;
{
    options.AddPolicy("Manager", policy =&gt; policy.RequireRole("Manager"));
    options.AddPolicy("Producer", policy =&gt; policy.RequireRole("Producer"));
    options.AddPolicy("CoProducer", policy =&gt; policy.RequireRole("CoProducer"));
});
// Middleware na pipeline:
app.UseAuthentication();
app.UseAuthorization();
// No controller:
[Authorize(Roles = nameof(UserType.Manager))]
[HttpPost()]
public async Task&lt;IActionResult&gt; CreateSubscriptionPeriodAndDeliveryDate(...)
{
    // método protegido por policy de roles
}</t>
  </si>
  <si>
    <t>//Program.cs                                    // Configuração do Identity e cookie de autenticação
builder.Services.AddIdentity&lt;AppUser, IdentityRole&gt;()
    .AddEntityFrameworkStores&lt;AppDbContext&gt;()
    .AddDefaultTokenProviders();
// Configuração do cookie de autenticação para login/logout e segurança básica
builder.Services.ConfigureApplicationCookie(options =&gt;
{
    options.LoginPath = "/api/account/login";
    options.LogoutPath = "/api/account/logout";
    options.SlidingExpiration = true;
    // Configurações de cookie (secure, SameSite) dependendo do ambiente
});
// Uso dos middlewares
app.UseAuthentication();  
app.UseAuthorization();</t>
  </si>
  <si>
    <t>A aplicação implementa proteção anti-CSRF parcial, mas com limitações importantes. Em produção, a proteção baseia-se principalmente no atributo SameSite dos cookies, que oferece uma proteção básica, mas não é uma solução completa contra CSRF.</t>
  </si>
  <si>
    <t>A aplicação assegura acesso uniforme através de Identity e políticas, evitando caminhos alternativos inseguros.</t>
  </si>
  <si>
    <t>Utiliza-se o ASP.NET Core Identity para roles, complementado com validações específicas baseadas em claims (atributos) do utilizador para decisões de negócio.</t>
  </si>
  <si>
    <t>Program.cs:
builder.Services.AddIdentity&lt;AppUser, IdentityRole&gt;()
    .AddEntityFrameworkStores&lt;AppDbContext&gt;()
    .AddDefaultTokenProviders();
builder.Services.AddAuthorization(options =&gt;
{
    options.AddPolicy("CanImportProducts", policy =&gt;
        policy.RequireClaim("CanImport", "true"));
});
app.UseAuthentication();
app.UseAuthorization();                             
ProductController.cs:
[Authorize(Roles = nameof(UserType.Producer))]
public class ProductController : ControllerBase
{
    [HttpPost("import-from-file")]
    [Authorize(Policy = "CanImportProducts")] // controlo baseado em claim/atributo
    public IActionResult ImportProductsFromFile(IFormFile file)
    {
        // implementação omitida
        return Ok();
    }
}</t>
  </si>
  <si>
    <t>O sistema apenas utiliza autenticação por utilizador e senha, sem implementar autenticação multifator (MFA) para a interface administrativa. Portanto, não protege adequadamente contra acesso não autorizado conforme o requisito</t>
  </si>
  <si>
    <t>O ficheiro AccountController.cs mostra uma autenticação padrão sem MFA no método Login(...) e o Program.cs apresenta autorização baseada em roles, mas sem configuração de MFA nas chamadas AddIdentity&lt;&gt;() e AddAuthorization(...).</t>
  </si>
  <si>
    <t>ProductOfferController.cs: if(productOffer == null) return BadRequest(); catch(ArgumentException) { return BadRequest(); }</t>
  </si>
  <si>
    <t>ASP.NET Core MVC</t>
  </si>
  <si>
    <t>Validação de dados e tratamento de erros implementados no controller para garantir dados corretos e conformidade.</t>
  </si>
  <si>
    <t>Desserialização JSON feita automaticamente via [FromBody] em modelos fortemente tipados, o que limita a superfície para ataques. Configuração padrão do System.Text.Json previne tipos arbitrários.</t>
  </si>
  <si>
    <t>System.Text.Json/ASP.NET Core</t>
  </si>
  <si>
    <t>ProductOfferController.cs: [HttpPost] public IActionResult CreateProductOffer([FromBody] ProductOffer productOffer) { ... }
Program.cs: builder.Services.AddControllers().AddJsonOptions(...)</t>
  </si>
  <si>
    <t>Validações e restrições feitas no backend, garantindo que todos os dados recebidos são verificados antes do processamento</t>
  </si>
  <si>
    <t>if (ModelState.IsValid) em AccountController.cs; if (productOffer == null) em ProductOfferController.cs; if (subscription.ExpectedQuantity &lt;= 0) em SubscriptionController.cs; [Authorize(Roles = nameof(UserType.Producer))] em vários controllers; if (!Enum.IsDefined(typeof(PaymentType), subscription.PaymentType)) em SubscriptionController.cs</t>
  </si>
  <si>
    <t>O backend apenas serializa dados para JSON, sem gerar HTML; a codificação de saída para XSS deve ser feita no frontend</t>
  </si>
  <si>
    <t>return Ok(obj) em vários controllers; uso de JSON serialization padrão (System.Text.Json/Newtonsoft.Json)</t>
  </si>
  <si>
    <t xml:space="preserve"> Implementar o ASP.NET Core Data Protection com persistência das chaves no Azure Key Vault, garantindo que todas as chaves criptográficas usadas pela aplicação são geridas, protegidas e rotacionadas automaticamente conforme as melhores práticas do NIST.</t>
  </si>
  <si>
    <t>Recomendada a externalização de todos os segredos sensíveis (como connection strings, passwords e chaves de API) para um serviço seguro, como o Azure Key Vault. A aplicação deve ser configurada para aceder a estes segredos de forma automática e segura, utilizando, por exemplo, o método builder.Configuration.AddAzureKeyVault(...) no ficheiro Program.cs</t>
  </si>
  <si>
    <t>Necessário externalizar as chaves e segredos sensíveis para um cofre seguro, como o Azure Key Vault, permitindo a sua rotação sem necessidade de alterar o código. Além disso, deve ser implementado um processo formal e documentado para a rotação periódica dessas chaves e para a re-encriptação dos dados sensíveis sempre que uma chave for substituída.</t>
  </si>
  <si>
    <t>Autenticação e autorização feitas apenas no backend (ex: [Authorize], ASP.NET Identity)</t>
  </si>
  <si>
    <t>ASP.NET Identity</t>
  </si>
  <si>
    <t>Não há segredos armazenados ou utilizados no frontend; toda a proteção de dados é feita de forma segura no backend.</t>
  </si>
  <si>
    <t>Necessário adicionar e utilizar o serviço ILogger&lt;T&gt; do ASP.NET Core em todos os controladores e serviços do projeto, garantindo que todas as operações relevantes sejam registadas de forma estruturada e consistente.</t>
  </si>
  <si>
    <t>Adicionar e configurar o Serilog (ou outro logger estruturado) para enviar logs via HTTPS para um sistema remoto (ex: Seq, ELK, Splunk), garantindo que o endpoint remoto está protegido e que toda a transmissão dos logs é cifrada.</t>
  </si>
  <si>
    <t xml:space="preserve"> Passwords protegidas pelo ASP.NET Identity; autenticação e sessão via cookies seguros; dados pessoais em entidades como AppUser </t>
  </si>
  <si>
    <t xml:space="preserve"> ASP.NET Identity /Documentation</t>
  </si>
  <si>
    <t>AppUser</t>
  </si>
  <si>
    <t>Hashing de passwords pelo ASP.NET Identity; configuração de HTTPS no Program.cs</t>
  </si>
  <si>
    <t>Requisitos de cifragem e comunicação segura aplicados</t>
  </si>
  <si>
    <t>Identity/Documentation</t>
  </si>
  <si>
    <t>app.UseHttpsRedirection() no Program.cs; string de ligação da base de dados pode ser configurada com Encrypt=True</t>
  </si>
  <si>
    <t>HTTPS garante cifragem nas comunicações externas; ligação à base de dados deve ser ajustada para usar encriptação</t>
  </si>
  <si>
    <t>Uso padrão de HTTPS no Kestrel/ASP.NET Core</t>
  </si>
  <si>
    <t>Certificados TLS são validados automaticamente</t>
  </si>
  <si>
    <t>O projeto utiliza Git com repositório remoto no GitHub, cada membro tem conta identificável, os commits podem ser associados a issues e todas as alterações passam por pull requests, garantindo rastreabilidade, revisão e controlo de acesso.</t>
  </si>
  <si>
    <t>API documentada automaticamente via Swagger; controllers organizados por função de negócio/segurança; README com documentação relevante sobre arquitetura, fluxos e componentes do sistema</t>
  </si>
  <si>
    <t>Swagger + Controllers + README(Relatorio)</t>
  </si>
  <si>
    <t>ASP.NET Identity, Cookies, Injeção de Dependências</t>
  </si>
  <si>
    <t>Autenticação e sessões isoladas por utilizador; serviços críticos registados como Scoped, evitando partilha de estado; Singletons não armazenam dados sensíveis</t>
  </si>
  <si>
    <t>builder.Services.AddScoped&lt;...&gt;() e builder.Services.AddSingleton&lt;EmailSender&gt;() no Program.cs</t>
  </si>
  <si>
    <t>ASP.NET Core Controllers, Identity</t>
  </si>
  <si>
    <t>Endpoints críticos são isolados por request; não há partilha de estado mutável; framework garante thread-safety; monitorizar futuros acessos a recursos partilhados</t>
  </si>
  <si>
    <t xml:space="preserve"> Uso padrão de controllers e serviços Scoped no Program.cs; autenticação e permissões via ASP.NET Identity</t>
  </si>
  <si>
    <t xml:space="preserve"> Ficheiros não são renderizados, apenas servidos como download com tipo MIME apropriado; não há preview direto</t>
  </si>
  <si>
    <t>Exemplo: return File(fileContent, contentType, fileName); em ProductController</t>
  </si>
  <si>
    <t xml:space="preserve"> Backend com endpoints bem definidos, permitindo aplicação de regras de firewall, proxies reversos e segmentação de rede em produção</t>
  </si>
  <si>
    <t>Deploy feito por pipeline autenticada, com análise de dependências e acesso seguro a segredos;</t>
  </si>
  <si>
    <t>GitHub Actions CI/CD</t>
  </si>
  <si>
    <t>Exemplo: uses: actions/checkout@v3, dotnet restore, dependency-check/Dependency-Check_Action@main na pipeline</t>
  </si>
  <si>
    <t>GitHub Dependabot + OWASP Dependency-Check</t>
  </si>
  <si>
    <t xml:space="preserve">Dependabot alerta para dependências inseguras; pipeline executa análise automática de vulnerabilidades com OWASP Dependency-Check </t>
  </si>
  <si>
    <t>Etapa Run SCA (OWASP Dependency Check) e dependency-check/Dependency-Check_Action@main na pipeline</t>
  </si>
  <si>
    <t>Adicionar scripts de infraestrutura como código (ex: ARM, Bicep, Terraform) para definir e provisionar o ambiente Azure, e incluir na pipeline etapas de validação automática dessas configurações (ex: az bicep build, terraform validate, ou ferramentas de segurança como Checkov ou AzSK) para garantir que o deployment é seguro e conforme as melhores práticas.</t>
  </si>
  <si>
    <t xml:space="preserve"> Deploy em ambiente Azure isolado, com possibilidade de segmentação de rede; recomenda-se reforçar isolamento para operações sensíveis</t>
  </si>
  <si>
    <t xml:space="preserve">Azure App Service </t>
  </si>
  <si>
    <t>Diogo/Pedros</t>
  </si>
  <si>
    <t>Não utiliza nem serve tecnologias cliente obsoletas ou inseguras; apenas expõe APIs RESTful modernas</t>
  </si>
  <si>
    <t xml:space="preserve">The AMAP application stores personally identifiable information (PII) of users (e.g., names, emails), so encryption at rest is essential to comply with GDPR and protect against data exposure in the event of unauthorized access to the database (risks 3.1 I, 5.1 I).
</t>
  </si>
  <si>
    <t>ASP.NET Core Identity already allows Unicode characters by default, so we don't need to add specific validation for this</t>
  </si>
  <si>
    <t>Análise manual do Program.cs</t>
  </si>
  <si>
    <t>No Program.cs a aplicação não utiliza UseDirectoryBrowser(), logo a navegação de diretórios está desativada por defeito.</t>
  </si>
  <si>
    <t>A funcionalidade de listagem de diretórios (UseDirectoryBrowser) não está ativada no Program.cs</t>
  </si>
  <si>
    <t>Falta qualquer “step-up” ou autorização adaptativa para operações sensíveis e não há segregação de funções para operações de alto risco.</t>
  </si>
  <si>
    <t>Análise manual do Program.cs e do AccountController.cs</t>
  </si>
  <si>
    <t>//Progam.cs                                               // Configuração das roles de autorização – apenas roles, sem step-up ou MFA adicional
builder.Services.AddAuthorization(options =&gt;
{
    options.AddPolicy("Manager",   policy =&gt; policy.RequireRole("Manager"));
    options.AddPolicy("Producer",  policy =&gt; policy.RequireRole("Producer"));
    options.AddPolicy("CoProducer",policy =&gt; policy.RequireRole("CoProducer"));
});</t>
  </si>
  <si>
    <t>Program.cs:65 - options.Password.RequiredLength = 12;
RegisterViewModel.cs:15 - [StringLength(128, MinimumLength = 12)]
ChangePasswordViewModel.cs:12 - [StringLength(128, MinimumLength = 12)]</t>
  </si>
  <si>
    <t>Program.cs:162-169 - CustomPasswordValidator verifica password.Length &gt; 128
RegisterViewModel.cs:15 - [StringLength(128, MinimumLength = 12)]
ChangePasswordViewModel.cs:12 - [StringLength(128, MinimumLength = 12)]</t>
  </si>
  <si>
    <t>Program.cs:173 - var normalizedPassword = Regex.Replace(password, @"\s+", " ");
Program.cs:174-181 - Verifica normalizedPassword.Length &lt; 12 após normalização</t>
  </si>
  <si>
    <t>AccountController.cs:106-145 - Método ChangePassword implementado
[HttpPost("change-password")] e [Authorize] para proteger o endpoint</t>
  </si>
  <si>
    <t>ChangePasswordViewModel.cs:6-13 - Campos CurrentPassword e NewPassword obrigatórios
AccountController.cs:125 - _userManager.ChangePasswordAsync(user, model.CurrentPassword, model.NewPassword)</t>
  </si>
  <si>
    <t>A aplicação não envia tokens na URL (usa cookies HTTP-only para a sessão) e não expõe tokens em mensagens de erro (responde com 401 sem redirecionar nem revelar detalhes).</t>
  </si>
  <si>
    <t>ASP.NET Core + Identity</t>
  </si>
  <si>
    <t>//Program.cs                                  Gerido automaticamente por:
.AddDefaultTokenProviders()
e pelo middleware UseAuthentication()</t>
  </si>
  <si>
    <t>O ASP.NET Core gera automaticamente um novo cookie/token seguro após login. Nenhum cookie de sessão é reutilizado entre sessões.</t>
  </si>
  <si>
    <t>//Program.cs                                Gerado internamente por DataProtectionTokenProvider&lt;TUser&gt; e cookies seguros (.AddDefaultTokenProviders())</t>
  </si>
  <si>
    <t>Os cookies de autenticação usam tokens com entropia adequada (&gt;= 64 bits), conforme a especificação do .NET. Não é necessário gerar manualmente.</t>
  </si>
  <si>
    <t>//Program.cs   options.Cookie.HttpOnly = true;
options.Cookie.SecurePolicy = CookieSecurePolicy.Always;
options.Cookie.SameSite = SameSiteMode.Strict;</t>
  </si>
  <si>
    <t>//Program.cs   options.Cookie.HttpOnly = true;
options.Cookie.SecurePolicy = CookieSecurePolicy.Always;
context.Response.StatusCode = 401;</t>
  </si>
  <si>
    <t>A sessão é armazenada com cookies HttpOnly e Secure, o que evita acesso via JavaScript e exige HTTPS.</t>
  </si>
  <si>
    <t>//Program.cs                           Implementado por default com o sistema de DataProtection do ASP.NET Core
e AddDefaultTokenProviders()</t>
  </si>
  <si>
    <t>O ASP.NET utiliza algoritmos seguros (ex: AES-256 + HMACSHA256) para gerar e proteger tokens. Não há necessidade de implementação manual.</t>
  </si>
  <si>
    <t>ASP.NET Core + Data Protection API</t>
  </si>
  <si>
    <t>//Program.cs	                   await _signInManager.SignOutAsync();
e
options.ExpireTimeSpan, SlidingExpiration</t>
  </si>
  <si>
    <t xml:space="preserve"> O método SignOutAsync() limpa o cookie de autenticação e a sessão expira corretamente. Após logout, não é possível retomar sessão com o botão voltar.</t>
  </si>
  <si>
    <t>//Program.cs  options.ExpireTimeSpan = TimeSpan.FromMinutes(30);
SlidingExpiration = true/false</t>
  </si>
  <si>
    <t>O tempo de sessão pode ser ajustado para cumprir os níveis L1–L3. A reautenticação pode ser forçada após X minutos de inatividade.</t>
  </si>
  <si>
    <t>O atributo Secure é corretamente definido, impedindo envio do cookie por HTTP.</t>
  </si>
  <si>
    <t>//Program.cs  options.Cookie.SecurePolicy = CookieSecurePolicy.Always;</t>
  </si>
  <si>
    <t>//Program.cs  options.Cookie.HttpOnly = true;</t>
  </si>
  <si>
    <t xml:space="preserve"> O cookie é marcado como HttpOnly, prevenindo roubo via XSS.</t>
  </si>
  <si>
    <t>//Program.cs options.Cookie.SameSite = SameSiteMode.Strict;</t>
  </si>
  <si>
    <t>SameSite pode ser configurado conforme o risco e necessidade (ex: Strict ou Lax).</t>
  </si>
  <si>
    <t>//Program.cs builder.Services.ConfigureApplicationCookie(options =&gt;
{
    options.Cookie.HttpOnly = true;
    options.Cookie.SecurePolicy = CookieSecurePolicy.Always;
    options.SlidingExpiration = true;
    ...
});</t>
  </si>
  <si>
    <t>Tokens de sessão e cookies são protegidos via configurações do Identity e HTTPS.</t>
  </si>
  <si>
    <t>ASP.NET Core Identity + Cookies</t>
  </si>
  <si>
    <t>//Program.cs builder.Services.AddIdentity&lt;AppUser, IdentityRole&gt;(...)
    .AddEntityFrameworkStores&lt;AppDbContext&gt;()
    .AddDefaultTokenProviders();</t>
  </si>
  <si>
    <t>Usa AddDefaultTokenProviders para gerar tokens temporários e seguros, evitando segredos estáticos.</t>
  </si>
  <si>
    <t>A aplicação protege endpoints com autenticação (UseAuthentication) e autorização (UseAuthorization), o que impede acessos não autenticados. No entanto, não implementa reautenticação ou verificação explícita da validade da sessão antes de ações críticas como alteração de dados de conta.</t>
  </si>
  <si>
    <t>//Program.cs app.UseAuthentication();
app.UseAuthorization();</t>
  </si>
  <si>
    <t>A aplicação utiliza ASP.NET Identity para gestão de passwords, que trata erros de forma segura. No entanto, não há evidência de tratamento específico para falhas criptográficas.</t>
  </si>
  <si>
    <t>// Em AMAP_API\Controllers\AccountController.cs
[HttpPost("login")]
[AllowAnonymous]
public async Task&lt;IActionResult&gt; Login([FromBody] LoginViewModel loginViewModel)
{
    if (ModelState.IsValid)
    {
        var result = await _signInManager.PasswordSignInAsync(loginViewModel.Email, loginViewModel.Password, loginViewModel.RememberMe, lockoutOnFailure: true);
        if (result.Succeeded)
        {
            var user = await _userManager.FindByEmailAsync(loginViewModel.Email);
            if (user == null)
            {
                return Unauthorized(new { message = "User not found" });
            }
            // Obtem as roles dos users
            var roles = await _userManager.GetRolesAsync(user);
            return Ok(new
            {
                message = "Login successful",
                userId = user.Id,
                role = roles.FirstOrDefault()
            });
        }
        if (result.IsLockedOut)
        {
            return StatusCode(423, new { message = "Account locked" });
        }
        else
        {
            return Unauthorized(new { message = "Invalid login attempt" });
        }
    }
    return BadRequest(ModelState);
}</t>
  </si>
  <si>
    <t>// Em AMAP_API\Program.cs - Configuração do Identity
builder.Services.AddIdentity&lt;AppUser, IdentityRole&gt;(options =&gt; 
{
    options.Password.RequiredLength = 12; // Min length 12 chars
    options.Password.RequireDigit = true;
    options.Password.RequireLowercase = true;
    options.Password.RequireUppercase = true;
    options.Password.RequireNonAlphanumeric = true;
    // Lockout settings
    options.Lockout.DefaultLockoutTimeSpan = TimeSpan.FromMinutes(15);
    options.Lockout.MaxFailedAccessAttempts = 5;
    options.Lockout.AllowedForNewUsers = true;
    // User settings
    options.User.RequireUniqueEmail = true;
})
.AddEntityFrameworkStores&lt;AppDbContext&gt;()
.AddDefaultTokenProviders()
.AddPasswordValidator&lt;CustomPasswordValidator&lt;AppUser&gt;&gt;();</t>
  </si>
  <si>
    <t>A aplicação usa ASP.NET Core Identity, que utiliza algoritmos padrão como PBKDF2 para hash de passwords.</t>
  </si>
  <si>
    <t>ASP.NET Identity permite atualizar o algoritmo de hashing, mas não há suporte explícito para atualização de outros parâmetros criptográficos.</t>
  </si>
  <si>
    <t>// Em AMAP_API\Program.cs
// Este trecho não está explícito no código fornecido, mas é possível adicionar:
// Exemplo de como seria a configuração de opções do password hasher
builder.Services.Configure&lt;PasswordHasherOptions&gt;(options =&gt;
{
    options.IterationCount = 310000; // Aumentar o número de iterações
    options.CompatibilityMode = PasswordHasherCompatibilityMode.IdentityV3; // Versão mais recente
});</t>
  </si>
  <si>
    <t>// Em AMAP_API\Program.cs
// A configuração do Identity, conforme mostrada acima, utiliza o PasswordHasher 
// que implementa PBKDF2-SHA256 por padrão, que é considerado seguro
builder.Services.AddIdentity&lt;AppUser, IdentityRole&gt;(options =&gt; 
{
    // Configurações de segurança de senha
})
.AddEntityFrameworkStores&lt;AppDbContext&gt;()
.AddDefaultTokenProviders();</t>
  </si>
  <si>
    <t>Não foi identificado o uso de algoritmos fracos. O sistema usa PBKDF2 através do ASP.NET Identity, que é seguro.</t>
  </si>
  <si>
    <t>A aplicação usa Guid.NewGuid() para gerar nomes de ficheiros únicos em ProductBc.cs (linha 296), o que é seguro (GUID v4), mas não utiliza explicitamente RandomNumberGenerator noutros casos.</t>
  </si>
  <si>
    <t>A aplicação utiliza Guid.NewGuid(), que gera GUIDs v4 com base em valores criptograficamente seguros.</t>
  </si>
  <si>
    <t>// Em AMAP.Business\Components\ProductBc.cs (linha 296)
// Geração de um nome de arquivo único usando GUID v4
string uniqueFileName = $"{Guid.NewGuid()}_{safeFileName}";</t>
  </si>
  <si>
    <t>System.Guid (classe padrão do .NET Framework)</t>
  </si>
  <si>
    <t>// Em AMAP_API\AMAP.Api.csproj
&lt;PropertyGroup&gt;
  &lt;TargetFramework&gt;net9.0&lt;/TargetFramework&gt;
  &lt;Nullable&gt;enable&lt;/Nullable&gt;
  &lt;ImplicitUsings&gt;enable&lt;/ImplicitUsings&gt;
  &lt;UserSecretsId&gt;2399dae3-8ae7-46c0-9bd6-806ab88f52f5&lt;/UserSecretsId&gt;
&lt;/PropertyGroup&gt;</t>
  </si>
  <si>
    <t>// Em AMAP_API\Program.cs
builder.Services.AddIdentity&lt;AppUser, IdentityRole&gt;(options =&gt; 
{
    // Configurações de senha e segurança
})
.AddEntityFrameworkStores&lt;AppDbContext&gt;()
.AddDefaultTokenProviders();</t>
  </si>
  <si>
    <t>ASP.NET Core Identity Framework</t>
  </si>
  <si>
    <t>A aplicação usa o UserSecrets do .NET no projeto .csproj, adequado para desenvolvimento local.</t>
  </si>
  <si>
    <t>A aplicação usa o ASP.NET Core Identity, mas não utiliza um módulo externo para operações criptográficas – depende do mecanismo interno do framework.</t>
  </si>
  <si>
    <t>Microsoft.Extensions.Configuration.UserSecrets (ASP.NET Core Secret Manager)</t>
  </si>
  <si>
    <t>TwoFactorAuthController.cs: SendCredentialsChangeNotificationAsync()</t>
  </si>
  <si>
    <t>TwoFactorAuthController.cs: ValidateToken()</t>
  </si>
  <si>
    <t>TwoFactorAuthController.cs: TOTP implementation</t>
  </si>
  <si>
    <t>AccountController.cs: _logger.LogInformation/Warning</t>
  </si>
  <si>
    <t>SecurityMonitoringService.cs: DetectAbnormalPatterns()</t>
  </si>
  <si>
    <t>[Authorize] nos controllers</t>
  </si>
  <si>
    <t>Business Logic that prevents actions without secondary validations, for example, PUT /api/Payment/{id}/validate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</si>
</sst>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_€"/>
  </numFmts>
  <fonts count="17" x14ac:knownFonts="1">
    <font>
      <sz val="10"/>
      <name val="Arial"/>
      <family val="2"/>
      <charset val="1"/>
    </font>
    <font>
      <sz val="16"/>
      <name val="Calibri"/>
      <family val="2"/>
      <charset val="1"/>
    </font>
    <font>
      <sz val="10"/>
      <name val="Calibri"/>
      <family val="2"/>
      <charset val="1"/>
    </font>
    <font>
      <b/>
      <sz val="16"/>
      <color rgb="FFE12D39"/>
      <name val="Calibri"/>
      <family val="2"/>
      <charset val="1"/>
    </font>
    <font>
      <sz val="16"/>
      <color rgb="FF102A43"/>
      <name val="Calibri"/>
      <family val="2"/>
      <charset val="1"/>
    </font>
    <font>
      <sz val="16"/>
      <color rgb="FFFFFFFF"/>
      <name val="Calibri"/>
      <family val="2"/>
      <charset val="1"/>
    </font>
    <font>
      <sz val="12"/>
      <color rgb="FF102A43"/>
      <name val="Calibri"/>
      <family val="2"/>
      <charset val="1"/>
    </font>
    <font>
      <sz val="10"/>
      <color rgb="FF102A43"/>
      <name val="Calibri"/>
      <family val="2"/>
      <charset val="1"/>
    </font>
    <font>
      <sz val="14"/>
      <color rgb="FFFFFFFF"/>
      <name val="Calibri"/>
      <family val="2"/>
      <charset val="1"/>
    </font>
    <font>
      <sz val="12"/>
      <name val="Calibri"/>
      <family val="2"/>
      <charset val="1"/>
    </font>
    <font>
      <sz val="10"/>
      <color rgb="FFFFFFFF"/>
      <name val="Calibri"/>
      <family val="2"/>
      <charset val="1"/>
    </font>
    <font>
      <sz val="10"/>
      <color rgb="FF000000"/>
      <name val="Calibri"/>
      <charset val="1"/>
    </font>
    <font>
      <sz val="12"/>
      <color rgb="FF242424"/>
      <name val="Calibri"/>
      <scheme val="minor"/>
    </font>
    <font>
      <sz val="12"/>
      <color rgb="FF102A43"/>
      <name val="Calibri"/>
    </font>
    <font>
      <sz val="12"/>
      <color rgb="FF102A43"/>
      <name val="Noto Sans CJK SC"/>
    </font>
    <font>
      <sz val="16"/>
      <color rgb="FFFFFFFF"/>
      <name val="Calibri"/>
    </font>
    <font>
      <sz val="12"/>
      <color rgb="FF102A43"/>
      <name val="Calibri"/>
      <family val="2"/>
    </font>
  </fonts>
  <fills count="13">
    <fill>
      <patternFill patternType="none"/>
    </fill>
    <fill>
      <patternFill patternType="gray125"/>
    </fill>
    <fill>
      <patternFill patternType="solid">
        <fgColor rgb="FF9FB3C8"/>
        <bgColor rgb="FFA4C1FF"/>
      </patternFill>
    </fill>
    <fill>
      <patternFill patternType="solid">
        <fgColor rgb="FF486581"/>
        <bgColor rgb="FF334E68"/>
      </patternFill>
    </fill>
    <fill>
      <patternFill patternType="solid">
        <fgColor rgb="FFF0F4F8"/>
        <bgColor rgb="FFFFFFFF"/>
      </patternFill>
    </fill>
    <fill>
      <patternFill patternType="solid">
        <fgColor rgb="FFC7EA8F"/>
        <bgColor rgb="FFD9D9D9"/>
      </patternFill>
    </fill>
    <fill>
      <patternFill patternType="solid">
        <fgColor rgb="FFFAFA6A"/>
        <bgColor rgb="FFC7EA8F"/>
      </patternFill>
    </fill>
    <fill>
      <patternFill patternType="solid">
        <fgColor rgb="FF87EAF2"/>
        <bgColor rgb="FF99CCFF"/>
      </patternFill>
    </fill>
    <fill>
      <patternFill patternType="solid">
        <fgColor rgb="FFFFFFFF"/>
        <bgColor rgb="FFF0F4F8"/>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s>
  <borders count="47">
    <border>
      <left/>
      <right/>
      <top/>
      <bottom/>
      <diagonal/>
    </border>
    <border>
      <left/>
      <right/>
      <top style="thin">
        <color rgb="FF334E68"/>
      </top>
      <bottom style="thin">
        <color rgb="FF334E68"/>
      </bottom>
      <diagonal/>
    </border>
    <border>
      <left style="thin">
        <color rgb="FFBCCCDC"/>
      </left>
      <right style="thin">
        <color rgb="FFBCCCDC"/>
      </right>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style="thin">
        <color rgb="FFBCCCDC"/>
      </left>
      <right style="thin">
        <color rgb="FFBCCCDC"/>
      </right>
      <top style="thin">
        <color rgb="FFBCCCDC"/>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right style="thin">
        <color rgb="FFBCCCDC"/>
      </right>
      <top style="thin">
        <color rgb="FFBCCCDC"/>
      </top>
      <bottom style="medium">
        <color rgb="FF243B53"/>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style="medium">
        <color rgb="FF243B53"/>
      </left>
      <right style="thin">
        <color rgb="FFBCCCDC"/>
      </right>
      <top style="medium">
        <color rgb="FF243B53"/>
      </top>
      <bottom style="thin">
        <color rgb="FFBCCCDC"/>
      </bottom>
      <diagonal/>
    </border>
    <border>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medium">
        <color rgb="FF243B53"/>
      </right>
      <top/>
      <bottom style="medium">
        <color rgb="FF243B53"/>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style="hair">
        <color auto="1"/>
      </left>
      <right style="medium">
        <color rgb="FF243B53"/>
      </right>
      <top/>
      <bottom style="medium">
        <color rgb="FF243B53"/>
      </bottom>
      <diagonal/>
    </border>
    <border>
      <left/>
      <right style="medium">
        <color auto="1"/>
      </right>
      <top/>
      <bottom style="medium">
        <color auto="1"/>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s>
  <cellStyleXfs count="1">
    <xf numFmtId="0" fontId="0" fillId="0" borderId="0"/>
  </cellStyleXfs>
  <cellXfs count="177">
    <xf numFmtId="0" fontId="0" fillId="0" borderId="0" xfId="0"/>
    <xf numFmtId="0" fontId="4" fillId="2" borderId="19" xfId="0" applyFont="1" applyFill="1" applyBorder="1" applyAlignment="1">
      <alignment horizontal="center" vertical="center" wrapText="1"/>
    </xf>
    <xf numFmtId="0" fontId="4" fillId="2" borderId="8" xfId="0" applyFont="1" applyFill="1" applyBorder="1" applyAlignment="1">
      <alignment vertical="center" wrapText="1"/>
    </xf>
    <xf numFmtId="0" fontId="1" fillId="0" borderId="0" xfId="0" applyFont="1"/>
    <xf numFmtId="0" fontId="2" fillId="0" borderId="0" xfId="0" applyFont="1"/>
    <xf numFmtId="0" fontId="3" fillId="2" borderId="1" xfId="0" applyFont="1" applyFill="1" applyBorder="1" applyAlignment="1">
      <alignment horizontal="center" wrapText="1"/>
    </xf>
    <xf numFmtId="0" fontId="4" fillId="2" borderId="2" xfId="0" applyFont="1" applyFill="1" applyBorder="1" applyAlignment="1">
      <alignment horizontal="center" wrapText="1"/>
    </xf>
    <xf numFmtId="0" fontId="5" fillId="0" borderId="0" xfId="0" applyFont="1" applyAlignment="1">
      <alignment horizontal="center" wrapText="1"/>
    </xf>
    <xf numFmtId="0" fontId="5" fillId="3" borderId="3" xfId="0" applyFont="1" applyFill="1" applyBorder="1"/>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164" fontId="6" fillId="4" borderId="5" xfId="0" applyNumberFormat="1" applyFont="1" applyFill="1" applyBorder="1" applyAlignment="1">
      <alignment horizontal="center" wrapText="1"/>
    </xf>
    <xf numFmtId="0" fontId="7" fillId="4" borderId="5" xfId="0" applyFont="1" applyFill="1" applyBorder="1"/>
    <xf numFmtId="0" fontId="8" fillId="0" borderId="0" xfId="0" applyFont="1" applyAlignment="1">
      <alignment horizontal="center" wrapText="1"/>
    </xf>
    <xf numFmtId="0" fontId="9" fillId="0" borderId="0" xfId="0" applyFont="1"/>
    <xf numFmtId="0" fontId="5" fillId="3" borderId="7"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wrapText="1"/>
    </xf>
    <xf numFmtId="0" fontId="6" fillId="0" borderId="11" xfId="0" applyFont="1" applyBorder="1" applyAlignment="1">
      <alignment wrapText="1"/>
    </xf>
    <xf numFmtId="0" fontId="6" fillId="0" borderId="0" xfId="0" applyFont="1"/>
    <xf numFmtId="0" fontId="6" fillId="0" borderId="5" xfId="0" applyFont="1" applyBorder="1" applyAlignment="1">
      <alignment horizontal="center" vertical="center" wrapText="1"/>
    </xf>
    <xf numFmtId="0" fontId="6" fillId="0" borderId="5" xfId="0" applyFont="1" applyBorder="1"/>
    <xf numFmtId="0" fontId="6" fillId="0" borderId="5" xfId="0" applyFont="1" applyBorder="1" applyAlignment="1">
      <alignment horizontal="left" vertical="center" wrapText="1"/>
    </xf>
    <xf numFmtId="0" fontId="6" fillId="0" borderId="5" xfId="0" applyFont="1" applyBorder="1" applyAlignment="1">
      <alignment wrapText="1"/>
    </xf>
    <xf numFmtId="0" fontId="6" fillId="0" borderId="13" xfId="0" applyFont="1" applyBorder="1" applyAlignment="1">
      <alignment wrapText="1"/>
    </xf>
    <xf numFmtId="0" fontId="6" fillId="0" borderId="13" xfId="0" applyFont="1" applyBorder="1"/>
    <xf numFmtId="0" fontId="6" fillId="0" borderId="15" xfId="0" applyFont="1" applyBorder="1" applyAlignment="1">
      <alignment horizontal="center" vertical="center" wrapText="1"/>
    </xf>
    <xf numFmtId="0" fontId="6" fillId="0" borderId="15" xfId="0" applyFont="1" applyBorder="1"/>
    <xf numFmtId="0" fontId="6" fillId="0" borderId="15" xfId="0" applyFont="1" applyBorder="1" applyAlignment="1">
      <alignment horizontal="left" vertical="center" wrapText="1"/>
    </xf>
    <xf numFmtId="0" fontId="6" fillId="0" borderId="16" xfId="0" applyFont="1" applyBorder="1"/>
    <xf numFmtId="0" fontId="9" fillId="0" borderId="0" xfId="0" applyFont="1" applyAlignment="1">
      <alignment wrapText="1"/>
    </xf>
    <xf numFmtId="0" fontId="9" fillId="0" borderId="0" xfId="0" applyFont="1" applyAlignment="1">
      <alignment horizont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0" borderId="0" xfId="0" applyFont="1" applyAlignment="1">
      <alignment horizontal="center" vertical="center"/>
    </xf>
    <xf numFmtId="0" fontId="6" fillId="2"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left" vertical="center" wrapText="1"/>
    </xf>
    <xf numFmtId="0" fontId="6" fillId="0" borderId="23" xfId="0" applyFont="1" applyBorder="1"/>
    <xf numFmtId="0" fontId="6" fillId="0" borderId="23" xfId="0" applyFont="1" applyBorder="1" applyAlignment="1">
      <alignment wrapText="1"/>
    </xf>
    <xf numFmtId="0" fontId="6" fillId="0" borderId="24" xfId="0" applyFont="1" applyBorder="1" applyAlignment="1">
      <alignment wrapText="1"/>
    </xf>
    <xf numFmtId="0" fontId="6" fillId="6" borderId="25"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7" borderId="25"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0" borderId="14" xfId="0" applyFont="1" applyBorder="1" applyAlignment="1">
      <alignment horizontal="center" vertical="center" wrapText="1"/>
    </xf>
    <xf numFmtId="0" fontId="4" fillId="0" borderId="0" xfId="0" applyFont="1" applyAlignment="1">
      <alignment vertical="center" wrapText="1"/>
    </xf>
    <xf numFmtId="0" fontId="6" fillId="0" borderId="0" xfId="0" applyFont="1" applyAlignment="1">
      <alignment horizontal="center" wrapText="1"/>
    </xf>
    <xf numFmtId="0" fontId="5" fillId="3" borderId="27" xfId="0" applyFont="1" applyFill="1" applyBorder="1" applyAlignment="1">
      <alignment horizontal="center" vertical="center" wrapText="1"/>
    </xf>
    <xf numFmtId="0" fontId="5" fillId="3" borderId="27" xfId="0" applyFont="1" applyFill="1" applyBorder="1" applyAlignment="1">
      <alignment horizontal="center" vertical="center"/>
    </xf>
    <xf numFmtId="0" fontId="6" fillId="2" borderId="20" xfId="0" applyFont="1" applyFill="1" applyBorder="1" applyAlignment="1">
      <alignment horizontal="center" vertical="center"/>
    </xf>
    <xf numFmtId="0" fontId="6" fillId="6" borderId="21" xfId="0" applyFont="1" applyFill="1" applyBorder="1" applyAlignment="1">
      <alignment horizontal="center" vertical="center"/>
    </xf>
    <xf numFmtId="0" fontId="6" fillId="0" borderId="23" xfId="0" applyFont="1" applyBorder="1" applyAlignment="1">
      <alignment horizontal="center" vertical="center"/>
    </xf>
    <xf numFmtId="0" fontId="6" fillId="6" borderId="25" xfId="0" applyFont="1" applyFill="1" applyBorder="1" applyAlignment="1">
      <alignment horizontal="center" vertical="center"/>
    </xf>
    <xf numFmtId="0" fontId="6" fillId="0" borderId="5" xfId="0" applyFont="1" applyBorder="1" applyAlignment="1">
      <alignment horizontal="center" vertical="center"/>
    </xf>
    <xf numFmtId="0" fontId="6" fillId="5" borderId="25" xfId="0" applyFont="1" applyFill="1" applyBorder="1" applyAlignment="1">
      <alignment horizontal="center" vertical="center"/>
    </xf>
    <xf numFmtId="0" fontId="6" fillId="7" borderId="25" xfId="0" applyFont="1" applyFill="1" applyBorder="1" applyAlignment="1">
      <alignment horizontal="center" vertical="center"/>
    </xf>
    <xf numFmtId="0" fontId="6" fillId="6" borderId="26" xfId="0" applyFont="1" applyFill="1" applyBorder="1" applyAlignment="1">
      <alignment horizontal="center" vertical="center"/>
    </xf>
    <xf numFmtId="0" fontId="6" fillId="0" borderId="15" xfId="0" applyFont="1" applyBorder="1" applyAlignment="1">
      <alignment horizontal="center" vertical="center"/>
    </xf>
    <xf numFmtId="0" fontId="4" fillId="0" borderId="0" xfId="0" applyFont="1"/>
    <xf numFmtId="0" fontId="7" fillId="0" borderId="0" xfId="0" applyFont="1"/>
    <xf numFmtId="0" fontId="8" fillId="3" borderId="27" xfId="0" applyFont="1" applyFill="1" applyBorder="1" applyAlignment="1">
      <alignment horizontal="center" vertical="center"/>
    </xf>
    <xf numFmtId="0" fontId="8" fillId="3" borderId="27" xfId="0" applyFont="1" applyFill="1" applyBorder="1" applyAlignment="1">
      <alignment horizontal="center" vertical="center" wrapText="1"/>
    </xf>
    <xf numFmtId="0" fontId="10" fillId="0" borderId="0" xfId="0" applyFont="1" applyAlignment="1">
      <alignment horizontal="center" vertical="center"/>
    </xf>
    <xf numFmtId="0" fontId="7" fillId="2" borderId="20" xfId="0" applyFont="1" applyFill="1" applyBorder="1" applyAlignment="1">
      <alignment horizontal="center" vertical="center"/>
    </xf>
    <xf numFmtId="0" fontId="6" fillId="5" borderId="26" xfId="0" applyFont="1" applyFill="1" applyBorder="1" applyAlignment="1">
      <alignment horizontal="center" vertical="center"/>
    </xf>
    <xf numFmtId="0" fontId="6" fillId="0" borderId="23" xfId="0" applyFont="1" applyBorder="1" applyAlignment="1">
      <alignment horizontal="left" wrapText="1"/>
    </xf>
    <xf numFmtId="0" fontId="6" fillId="0" borderId="5" xfId="0" applyFont="1" applyBorder="1" applyAlignment="1">
      <alignment horizontal="left" wrapText="1"/>
    </xf>
    <xf numFmtId="0" fontId="6" fillId="0" borderId="15" xfId="0" applyFont="1" applyBorder="1" applyAlignment="1">
      <alignment horizontal="left" wrapText="1"/>
    </xf>
    <xf numFmtId="0" fontId="5" fillId="8" borderId="0" xfId="0" applyFont="1" applyFill="1" applyAlignment="1">
      <alignment horizontal="center" vertical="center"/>
    </xf>
    <xf numFmtId="0" fontId="5" fillId="3" borderId="17"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11" fillId="0" borderId="0" xfId="0" applyFont="1"/>
    <xf numFmtId="0" fontId="12" fillId="0" borderId="0" xfId="0" applyFont="1" applyAlignment="1">
      <alignment wrapText="1"/>
    </xf>
    <xf numFmtId="0" fontId="6" fillId="0" borderId="15" xfId="0" applyFont="1" applyBorder="1" applyAlignment="1">
      <alignment wrapText="1"/>
    </xf>
    <xf numFmtId="0" fontId="6" fillId="0" borderId="16" xfId="0" applyFont="1" applyBorder="1" applyAlignment="1">
      <alignment wrapText="1"/>
    </xf>
    <xf numFmtId="0" fontId="6" fillId="0" borderId="23" xfId="0" applyFont="1" applyBorder="1" applyAlignment="1">
      <alignment vertical="top"/>
    </xf>
    <xf numFmtId="0" fontId="6" fillId="0" borderId="23" xfId="0" applyFont="1" applyBorder="1" applyAlignment="1">
      <alignment horizontal="center" vertical="top"/>
    </xf>
    <xf numFmtId="0" fontId="6" fillId="0" borderId="23" xfId="0" applyFont="1" applyBorder="1" applyAlignment="1">
      <alignment horizontal="left" vertical="top" wrapText="1"/>
    </xf>
    <xf numFmtId="0" fontId="6" fillId="0" borderId="24" xfId="0" applyFont="1" applyBorder="1" applyAlignment="1">
      <alignment vertical="top" wrapText="1"/>
    </xf>
    <xf numFmtId="0" fontId="6" fillId="0" borderId="23" xfId="0" applyFont="1" applyBorder="1" applyAlignment="1">
      <alignment vertical="top" wrapText="1"/>
    </xf>
    <xf numFmtId="0" fontId="6" fillId="0" borderId="0" xfId="0" applyFont="1" applyAlignment="1">
      <alignment wrapText="1"/>
    </xf>
    <xf numFmtId="0" fontId="6" fillId="0" borderId="13"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5" xfId="0" applyFont="1" applyBorder="1" applyAlignment="1">
      <alignment vertical="top"/>
    </xf>
    <xf numFmtId="0" fontId="6" fillId="0" borderId="15" xfId="0" applyFont="1" applyBorder="1" applyAlignment="1">
      <alignment vertical="top"/>
    </xf>
    <xf numFmtId="0" fontId="6" fillId="0" borderId="15" xfId="0" applyFont="1" applyBorder="1" applyAlignment="1">
      <alignment vertical="top" wrapText="1"/>
    </xf>
    <xf numFmtId="0" fontId="6" fillId="0" borderId="0" xfId="0" applyFont="1" applyAlignment="1">
      <alignment vertical="top"/>
    </xf>
    <xf numFmtId="0" fontId="6" fillId="0" borderId="16" xfId="0" applyFont="1" applyBorder="1" applyAlignment="1">
      <alignment vertical="top" wrapText="1"/>
    </xf>
    <xf numFmtId="0" fontId="5" fillId="3" borderId="17" xfId="0" applyFont="1" applyFill="1" applyBorder="1" applyAlignment="1">
      <alignment horizontal="center" vertical="top" wrapText="1"/>
    </xf>
    <xf numFmtId="0" fontId="5" fillId="3" borderId="27" xfId="0" applyFont="1" applyFill="1" applyBorder="1" applyAlignment="1">
      <alignment horizontal="center" vertical="top"/>
    </xf>
    <xf numFmtId="0" fontId="5" fillId="3" borderId="27" xfId="0" applyFont="1" applyFill="1" applyBorder="1" applyAlignment="1">
      <alignment horizontal="center" vertical="top" wrapText="1"/>
    </xf>
    <xf numFmtId="0" fontId="6" fillId="2" borderId="20" xfId="0" applyFont="1" applyFill="1" applyBorder="1" applyAlignment="1">
      <alignment horizontal="center" vertical="top"/>
    </xf>
    <xf numFmtId="0" fontId="6" fillId="5" borderId="21" xfId="0" applyFont="1" applyFill="1" applyBorder="1" applyAlignment="1">
      <alignment horizontal="center" vertical="top"/>
    </xf>
    <xf numFmtId="0" fontId="6" fillId="0" borderId="23" xfId="0" applyFont="1" applyBorder="1" applyAlignment="1">
      <alignment horizontal="center" vertical="top" wrapText="1"/>
    </xf>
    <xf numFmtId="0" fontId="6" fillId="5" borderId="25" xfId="0" applyFont="1" applyFill="1" applyBorder="1" applyAlignment="1">
      <alignment horizontal="center" vertical="top"/>
    </xf>
    <xf numFmtId="0" fontId="6" fillId="0" borderId="5" xfId="0" applyFont="1" applyBorder="1" applyAlignment="1">
      <alignment horizontal="center" vertical="top" wrapText="1"/>
    </xf>
    <xf numFmtId="0" fontId="6" fillId="0" borderId="5" xfId="0" applyFont="1" applyBorder="1" applyAlignment="1">
      <alignment horizontal="center" vertical="top"/>
    </xf>
    <xf numFmtId="0" fontId="6" fillId="0" borderId="5" xfId="0" applyFont="1" applyBorder="1" applyAlignment="1">
      <alignment horizontal="left" vertical="top" wrapText="1"/>
    </xf>
    <xf numFmtId="0" fontId="6" fillId="7" borderId="25" xfId="0" applyFont="1" applyFill="1" applyBorder="1" applyAlignment="1">
      <alignment horizontal="center" vertical="top"/>
    </xf>
    <xf numFmtId="0" fontId="6" fillId="6" borderId="25" xfId="0" applyFont="1" applyFill="1" applyBorder="1" applyAlignment="1">
      <alignment horizontal="center" vertical="top"/>
    </xf>
    <xf numFmtId="0" fontId="6" fillId="5" borderId="26" xfId="0" applyFont="1" applyFill="1" applyBorder="1" applyAlignment="1">
      <alignment horizontal="center" vertical="top"/>
    </xf>
    <xf numFmtId="0" fontId="6" fillId="0" borderId="15" xfId="0" applyFont="1" applyBorder="1" applyAlignment="1">
      <alignment horizontal="center" vertical="top" wrapText="1"/>
    </xf>
    <xf numFmtId="0" fontId="6" fillId="0" borderId="15" xfId="0" applyFont="1" applyBorder="1" applyAlignment="1">
      <alignment horizontal="left" vertical="top" wrapText="1"/>
    </xf>
    <xf numFmtId="0" fontId="6" fillId="0" borderId="32" xfId="0" applyFont="1" applyBorder="1" applyAlignment="1">
      <alignment vertical="top" wrapText="1"/>
    </xf>
    <xf numFmtId="0" fontId="6" fillId="0" borderId="32" xfId="0" applyFont="1" applyBorder="1" applyAlignment="1">
      <alignment horizontal="left" vertical="top" wrapText="1"/>
    </xf>
    <xf numFmtId="0" fontId="5" fillId="3" borderId="28" xfId="0" applyFont="1" applyFill="1" applyBorder="1" applyAlignment="1">
      <alignment horizontal="center" vertical="top"/>
    </xf>
    <xf numFmtId="0" fontId="5" fillId="3" borderId="29" xfId="0" applyFont="1" applyFill="1" applyBorder="1" applyAlignment="1">
      <alignment horizontal="center" vertical="top"/>
    </xf>
    <xf numFmtId="0" fontId="5" fillId="3" borderId="30" xfId="0" applyFont="1" applyFill="1" applyBorder="1" applyAlignment="1">
      <alignment horizontal="center" vertical="top" wrapText="1"/>
    </xf>
    <xf numFmtId="0" fontId="5" fillId="3" borderId="30" xfId="0" applyFont="1" applyFill="1" applyBorder="1" applyAlignment="1">
      <alignment horizontal="center" vertical="top"/>
    </xf>
    <xf numFmtId="0" fontId="6" fillId="6" borderId="31" xfId="0" applyFont="1" applyFill="1" applyBorder="1" applyAlignment="1">
      <alignment horizontal="center" vertical="top"/>
    </xf>
    <xf numFmtId="0" fontId="6" fillId="0" borderId="32" xfId="0" applyFont="1" applyBorder="1" applyAlignment="1">
      <alignment horizontal="center" vertical="top" wrapText="1"/>
    </xf>
    <xf numFmtId="0" fontId="6" fillId="0" borderId="32" xfId="0" applyFont="1" applyBorder="1" applyAlignment="1">
      <alignment horizontal="center" vertical="top"/>
    </xf>
    <xf numFmtId="0" fontId="6" fillId="0" borderId="15" xfId="0" applyFont="1" applyBorder="1" applyAlignment="1">
      <alignment horizontal="center" vertical="top"/>
    </xf>
    <xf numFmtId="0" fontId="6" fillId="0" borderId="33" xfId="0" applyFont="1" applyBorder="1" applyAlignment="1">
      <alignment vertical="top" wrapText="1"/>
    </xf>
    <xf numFmtId="0" fontId="5" fillId="3" borderId="35" xfId="0" applyFont="1" applyFill="1" applyBorder="1" applyAlignment="1">
      <alignment horizontal="center" vertical="top" wrapText="1"/>
    </xf>
    <xf numFmtId="0" fontId="6" fillId="2" borderId="37" xfId="0" applyFont="1" applyFill="1" applyBorder="1" applyAlignment="1">
      <alignment horizontal="center" vertical="top"/>
    </xf>
    <xf numFmtId="0" fontId="6" fillId="5" borderId="38" xfId="0" applyFont="1" applyFill="1" applyBorder="1" applyAlignment="1">
      <alignment horizontal="center" vertical="top"/>
    </xf>
    <xf numFmtId="0" fontId="6" fillId="0" borderId="39" xfId="0" applyFont="1" applyBorder="1" applyAlignment="1">
      <alignment horizontal="center" vertical="top" wrapText="1"/>
    </xf>
    <xf numFmtId="0" fontId="6" fillId="0" borderId="39" xfId="0" applyFont="1" applyBorder="1" applyAlignment="1">
      <alignment horizontal="center" vertical="top"/>
    </xf>
    <xf numFmtId="0" fontId="6" fillId="0" borderId="39" xfId="0" applyFont="1" applyBorder="1" applyAlignment="1">
      <alignment horizontal="left" vertical="top" wrapText="1"/>
    </xf>
    <xf numFmtId="0" fontId="6" fillId="0" borderId="39" xfId="0" applyFont="1" applyBorder="1" applyAlignment="1">
      <alignment vertical="top"/>
    </xf>
    <xf numFmtId="0" fontId="6" fillId="5" borderId="41" xfId="0" applyFont="1" applyFill="1" applyBorder="1" applyAlignment="1">
      <alignment horizontal="center" vertical="top"/>
    </xf>
    <xf numFmtId="0" fontId="6" fillId="0" borderId="42" xfId="0" applyFont="1" applyBorder="1" applyAlignment="1">
      <alignment horizontal="center" vertical="top" wrapText="1"/>
    </xf>
    <xf numFmtId="0" fontId="6" fillId="0" borderId="42" xfId="0" applyFont="1" applyBorder="1" applyAlignment="1">
      <alignment horizontal="center" vertical="top"/>
    </xf>
    <xf numFmtId="0" fontId="6" fillId="0" borderId="42" xfId="0" applyFont="1" applyBorder="1" applyAlignment="1">
      <alignment horizontal="left" vertical="top" wrapText="1"/>
    </xf>
    <xf numFmtId="0" fontId="6" fillId="0" borderId="42" xfId="0" applyFont="1" applyBorder="1" applyAlignment="1">
      <alignment vertical="top"/>
    </xf>
    <xf numFmtId="0" fontId="6" fillId="0" borderId="43" xfId="0" applyFont="1" applyBorder="1" applyAlignment="1">
      <alignment vertical="top"/>
    </xf>
    <xf numFmtId="0" fontId="6" fillId="7" borderId="41" xfId="0" applyFont="1" applyFill="1" applyBorder="1" applyAlignment="1">
      <alignment horizontal="center" vertical="top"/>
    </xf>
    <xf numFmtId="0" fontId="6" fillId="6" borderId="41" xfId="0" applyFont="1" applyFill="1" applyBorder="1" applyAlignment="1">
      <alignment horizontal="center" vertical="top"/>
    </xf>
    <xf numFmtId="0" fontId="6" fillId="5" borderId="44" xfId="0" applyFont="1" applyFill="1" applyBorder="1" applyAlignment="1">
      <alignment horizontal="center" vertical="top"/>
    </xf>
    <xf numFmtId="0" fontId="6" fillId="0" borderId="45" xfId="0" applyFont="1" applyBorder="1" applyAlignment="1">
      <alignment horizontal="center" vertical="top" wrapText="1"/>
    </xf>
    <xf numFmtId="0" fontId="6" fillId="0" borderId="45" xfId="0" applyFont="1" applyBorder="1" applyAlignment="1">
      <alignment horizontal="center" vertical="top"/>
    </xf>
    <xf numFmtId="0" fontId="6" fillId="0" borderId="45" xfId="0" applyFont="1" applyBorder="1" applyAlignment="1">
      <alignment horizontal="left" vertical="top" wrapText="1"/>
    </xf>
    <xf numFmtId="0" fontId="6" fillId="0" borderId="45" xfId="0" applyFont="1" applyBorder="1" applyAlignment="1">
      <alignment vertical="top"/>
    </xf>
    <xf numFmtId="0" fontId="6" fillId="0" borderId="39" xfId="0" applyFont="1" applyBorder="1" applyAlignment="1">
      <alignment vertical="top" wrapText="1"/>
    </xf>
    <xf numFmtId="0" fontId="6" fillId="0" borderId="40" xfId="0" applyFont="1" applyBorder="1" applyAlignment="1">
      <alignment vertical="top" wrapText="1"/>
    </xf>
    <xf numFmtId="0" fontId="6" fillId="0" borderId="42" xfId="0" applyFont="1" applyBorder="1" applyAlignment="1">
      <alignment vertical="top" wrapText="1"/>
    </xf>
    <xf numFmtId="0" fontId="6" fillId="0" borderId="43" xfId="0" applyFont="1" applyBorder="1" applyAlignment="1">
      <alignment vertical="top" wrapText="1"/>
    </xf>
    <xf numFmtId="0" fontId="6" fillId="0" borderId="45" xfId="0" applyFont="1" applyBorder="1" applyAlignment="1">
      <alignment vertical="top" wrapText="1"/>
    </xf>
    <xf numFmtId="0" fontId="6" fillId="0" borderId="46" xfId="0" applyFont="1" applyBorder="1" applyAlignment="1">
      <alignment vertical="top" wrapText="1"/>
    </xf>
    <xf numFmtId="0" fontId="15" fillId="0" borderId="0" xfId="0" applyFont="1" applyAlignment="1">
      <alignment horizontal="center" vertical="center"/>
    </xf>
    <xf numFmtId="0" fontId="13" fillId="0" borderId="5" xfId="0" applyFont="1" applyBorder="1" applyAlignment="1">
      <alignment wrapText="1"/>
    </xf>
    <xf numFmtId="0" fontId="13" fillId="0" borderId="23" xfId="0" applyFont="1" applyBorder="1" applyAlignment="1">
      <alignment wrapText="1"/>
    </xf>
    <xf numFmtId="0" fontId="13" fillId="0" borderId="13" xfId="0" applyFont="1" applyBorder="1" applyAlignment="1">
      <alignment wrapText="1"/>
    </xf>
    <xf numFmtId="0" fontId="0" fillId="0" borderId="0" xfId="0" applyAlignment="1">
      <alignment wrapText="1"/>
    </xf>
    <xf numFmtId="0" fontId="16" fillId="0" borderId="13" xfId="0" applyFont="1" applyBorder="1" applyAlignment="1">
      <alignment wrapText="1"/>
    </xf>
    <xf numFmtId="0" fontId="5" fillId="3"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7" borderId="26"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6" borderId="26" xfId="0" applyFont="1" applyFill="1" applyBorder="1" applyAlignment="1">
      <alignment horizontal="center" vertical="center" wrapText="1"/>
    </xf>
    <xf numFmtId="0" fontId="6" fillId="0" borderId="2" xfId="0" applyFont="1" applyBorder="1" applyAlignment="1">
      <alignment vertical="top" wrapText="1"/>
    </xf>
    <xf numFmtId="0" fontId="6" fillId="9" borderId="5" xfId="0" applyFont="1" applyFill="1" applyBorder="1" applyAlignment="1">
      <alignment wrapText="1"/>
    </xf>
    <xf numFmtId="0" fontId="6" fillId="9" borderId="5" xfId="0" applyFont="1" applyFill="1" applyBorder="1" applyAlignment="1">
      <alignment vertical="top" wrapText="1"/>
    </xf>
    <xf numFmtId="0" fontId="6" fillId="9" borderId="5" xfId="0" applyFont="1" applyFill="1" applyBorder="1"/>
    <xf numFmtId="0" fontId="6" fillId="10" borderId="5" xfId="0" applyFont="1" applyFill="1" applyBorder="1" applyAlignment="1">
      <alignment vertical="top" wrapText="1"/>
    </xf>
    <xf numFmtId="0" fontId="6" fillId="10" borderId="5" xfId="0" applyFont="1" applyFill="1" applyBorder="1" applyAlignment="1">
      <alignment wrapText="1"/>
    </xf>
    <xf numFmtId="0" fontId="6" fillId="11" borderId="5" xfId="0" applyFont="1" applyFill="1" applyBorder="1"/>
    <xf numFmtId="0" fontId="6" fillId="9" borderId="23" xfId="0" applyFont="1" applyFill="1" applyBorder="1"/>
    <xf numFmtId="0" fontId="2" fillId="12" borderId="0" xfId="0" applyFont="1" applyFill="1"/>
    <xf numFmtId="0" fontId="6" fillId="9" borderId="15" xfId="0" applyFont="1" applyFill="1" applyBorder="1"/>
    <xf numFmtId="0" fontId="6" fillId="9" borderId="15" xfId="0" applyFont="1" applyFill="1" applyBorder="1" applyAlignment="1">
      <alignment wrapText="1"/>
    </xf>
    <xf numFmtId="0" fontId="4" fillId="2" borderId="8" xfId="0" applyFont="1" applyFill="1" applyBorder="1" applyAlignment="1">
      <alignment vertical="center" wrapText="1"/>
    </xf>
    <xf numFmtId="0" fontId="4" fillId="2" borderId="19" xfId="0" applyFont="1" applyFill="1" applyBorder="1" applyAlignment="1">
      <alignment horizontal="center" vertical="center" wrapText="1"/>
    </xf>
    <xf numFmtId="0" fontId="4" fillId="2" borderId="19" xfId="0" applyFont="1" applyFill="1" applyBorder="1" applyAlignment="1">
      <alignment horizontal="center" vertical="top" wrapText="1"/>
    </xf>
    <xf numFmtId="0" fontId="4" fillId="2" borderId="36"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CCCDC"/>
      <rgbColor rgb="FF878787"/>
      <rgbColor rgb="FF9FB3C8"/>
      <rgbColor rgb="FFE12D39"/>
      <rgbColor rgb="FFF0F4F8"/>
      <rgbColor rgb="FF87EA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7EA8F"/>
      <rgbColor rgb="FFFAFA6A"/>
      <rgbColor rgb="FF99CCFF"/>
      <rgbColor rgb="FFFF99CC"/>
      <rgbColor rgb="FFA4C1FF"/>
      <rgbColor rgb="FFFFCC99"/>
      <rgbColor rgb="FF3E7FCC"/>
      <rgbColor rgb="FF33CCCC"/>
      <rgbColor rgb="FF99CC00"/>
      <rgbColor rgb="FFFFCC00"/>
      <rgbColor rgb="FFFF9900"/>
      <rgbColor rgb="FFFF6600"/>
      <rgbColor rgb="FF486581"/>
      <rgbColor rgb="FF969696"/>
      <rgbColor rgb="FF102A43"/>
      <rgbColor rgb="FF339966"/>
      <rgbColor rgb="FF003300"/>
      <rgbColor rgb="FF333300"/>
      <rgbColor rgb="FF993300"/>
      <rgbColor rgb="FF993366"/>
      <rgbColor rgb="FF334E68"/>
      <rgbColor rgb="FF243B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Validity Percentage</a:t>
            </a:r>
          </a:p>
        </c:rich>
      </c:tx>
      <c:overlay val="0"/>
      <c:spPr>
        <a:noFill/>
        <a:ln>
          <a:noFill/>
        </a:ln>
      </c:spPr>
    </c:title>
    <c:autoTitleDeleted val="0"/>
    <c:plotArea>
      <c:layout/>
      <c:radarChart>
        <c:radarStyle val="filled"/>
        <c:varyColors val="0"/>
        <c:ser>
          <c:idx val="0"/>
          <c:order val="0"/>
          <c:tx>
            <c:strRef>
              <c:f>'ASVS Results'!$D$1</c:f>
              <c:strCache>
                <c:ptCount val="1"/>
                <c:pt idx="0">
                  <c:v>Validity Percentage</c:v>
                </c:pt>
              </c:strCache>
            </c:strRef>
          </c:tx>
          <c:spPr>
            <a:gradFill>
              <a:gsLst>
                <a:gs pos="0">
                  <a:srgbClr val="3E7FCC"/>
                </a:gs>
                <a:gs pos="100000">
                  <a:srgbClr val="A4C1FF"/>
                </a:gs>
              </a:gsLst>
              <a:lin ang="16200000"/>
            </a:gradFill>
            <a:ln>
              <a:noFill/>
            </a:ln>
          </c:spPr>
          <c:dLbls>
            <c:spPr>
              <a:noFill/>
              <a:ln>
                <a:noFill/>
              </a:ln>
              <a:effectLst/>
            </c:spPr>
            <c:txPr>
              <a:bodyPr/>
              <a:lstStyle/>
              <a:p>
                <a:pPr>
                  <a:defRPr sz="1000" b="0" strike="noStrike" spc="-1">
                    <a:solidFill>
                      <a:srgbClr val="000000"/>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'ASVS Results'!$A$2:$A$16</c:f>
              <c:strCache>
                <c:ptCount val="15"/>
                <c:pt idx="0">
                  <c:v>Architecture, Design and Threat Modeling</c:v>
                </c:pt>
                <c:pt idx="1">
                  <c:v>Authentication</c:v>
                </c:pt>
                <c:pt idx="2">
                  <c:v>Session Management</c:v>
                </c:pt>
                <c:pt idx="3">
                  <c:v>Access Control</c:v>
                </c:pt>
                <c:pt idx="4">
                  <c:v>Validation, Sanitization and Encoding</c:v>
                </c:pt>
                <c:pt idx="5">
                  <c:v>Stored Cryptography</c:v>
                </c:pt>
                <c:pt idx="6">
                  <c:v>Error Handling and Logging</c:v>
                </c:pt>
                <c:pt idx="7">
                  <c:v>Data Protection</c:v>
                </c:pt>
                <c:pt idx="8">
                  <c:v>Communication</c:v>
                </c:pt>
                <c:pt idx="9">
                  <c:v>Malicious Code</c:v>
                </c:pt>
                <c:pt idx="10">
                  <c:v>Business Logic</c:v>
                </c:pt>
                <c:pt idx="11">
                  <c:v>Files and Resources</c:v>
                </c:pt>
                <c:pt idx="12">
                  <c:v>API and Web Service</c:v>
                </c:pt>
                <c:pt idx="13">
                  <c:v>Configuration</c:v>
                </c:pt>
                <c:pt idx="14">
                  <c:v>Total</c:v>
                </c:pt>
              </c:strCache>
            </c:strRef>
          </c:cat>
          <c:val>
            <c:numRef>
              <c:f>'ASVS Results'!$D$2:$D$16</c:f>
              <c:numCache>
                <c:formatCode>#\ ##0.00\ _€;\-#\ ##0.00\ _€</c:formatCode>
                <c:ptCount val="15"/>
                <c:pt idx="0">
                  <c:v>84.615384615384613</c:v>
                </c:pt>
                <c:pt idx="1">
                  <c:v>55.357142857142861</c:v>
                </c:pt>
                <c:pt idx="2">
                  <c:v>65</c:v>
                </c:pt>
                <c:pt idx="3">
                  <c:v>77.777777777777786</c:v>
                </c:pt>
                <c:pt idx="4">
                  <c:v>36.666666666666664</c:v>
                </c:pt>
                <c:pt idx="5">
                  <c:v>50</c:v>
                </c:pt>
                <c:pt idx="6">
                  <c:v>58.333333333333336</c:v>
                </c:pt>
                <c:pt idx="7">
                  <c:v>17.647058823529413</c:v>
                </c:pt>
                <c:pt idx="8">
                  <c:v>50</c:v>
                </c:pt>
                <c:pt idx="9">
                  <c:v>87.5</c:v>
                </c:pt>
                <c:pt idx="10">
                  <c:v>25</c:v>
                </c:pt>
                <c:pt idx="11">
                  <c:v>41.666666666666671</c:v>
                </c:pt>
                <c:pt idx="12">
                  <c:v>50</c:v>
                </c:pt>
                <c:pt idx="13">
                  <c:v>41.666666666666671</c:v>
                </c:pt>
                <c:pt idx="14">
                  <c:v>54.27509293680297</c:v>
                </c:pt>
              </c:numCache>
            </c:numRef>
          </c:val>
          <c:extLst>
            <c:ext xmlns:c16="http://schemas.microsoft.com/office/drawing/2014/chart" uri="{C3380CC4-5D6E-409C-BE32-E72D297353CC}">
              <c16:uniqueId val="{00000000-9588-4813-A802-016D50810174}"/>
            </c:ext>
          </c:extLst>
        </c:ser>
        <c:dLbls>
          <c:showLegendKey val="0"/>
          <c:showVal val="0"/>
          <c:showCatName val="0"/>
          <c:showSerName val="0"/>
          <c:showPercent val="0"/>
          <c:showBubbleSize val="0"/>
        </c:dLbls>
        <c:axId val="17923522"/>
        <c:axId val="74048637"/>
      </c:radarChart>
      <c:catAx>
        <c:axId val="17923522"/>
        <c:scaling>
          <c:orientation val="minMax"/>
        </c:scaling>
        <c:delete val="0"/>
        <c:axPos val="b"/>
        <c:majorGridlines>
          <c:spPr>
            <a:ln w="9360">
              <a:solidFill>
                <a:srgbClr val="878787"/>
              </a:solidFill>
              <a:round/>
            </a:ln>
          </c:spPr>
        </c:majorGridlines>
        <c:numFmt formatCode="General" sourceLinked="1"/>
        <c:majorTickMark val="out"/>
        <c:minorTickMark val="none"/>
        <c:tickLblPos val="nextTo"/>
        <c:spPr>
          <a:ln w="9360">
            <a:noFill/>
          </a:ln>
        </c:spPr>
        <c:txPr>
          <a:bodyPr/>
          <a:lstStyle/>
          <a:p>
            <a:pPr>
              <a:defRPr sz="1000" b="0" strike="noStrike" spc="-1">
                <a:solidFill>
                  <a:srgbClr val="000000"/>
                </a:solidFill>
                <a:latin typeface="Calibri"/>
              </a:defRPr>
            </a:pPr>
            <a:endParaRPr lang="en-US"/>
          </a:p>
        </c:txPr>
        <c:crossAx val="74048637"/>
        <c:crosses val="autoZero"/>
        <c:auto val="1"/>
        <c:lblAlgn val="ctr"/>
        <c:lblOffset val="100"/>
        <c:noMultiLvlLbl val="0"/>
      </c:catAx>
      <c:valAx>
        <c:axId val="74048637"/>
        <c:scaling>
          <c:orientation val="minMax"/>
        </c:scaling>
        <c:delete val="0"/>
        <c:axPos val="l"/>
        <c:majorGridlines>
          <c:spPr>
            <a:ln w="9360">
              <a:solidFill>
                <a:srgbClr val="878787"/>
              </a:solidFill>
              <a:round/>
            </a:ln>
          </c:spPr>
        </c:majorGridlines>
        <c:numFmt formatCode="#,##0.00\ ;\(#,##0.00\)" sourceLinked="0"/>
        <c:majorTickMark val="cross"/>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923522"/>
        <c:crosses val="autoZero"/>
        <c:crossBetween val="midCat"/>
      </c:valAx>
      <c:spPr>
        <a:solidFill>
          <a:srgbClr val="FFFFFF"/>
        </a:solidFill>
        <a:ln>
          <a:noFill/>
        </a:ln>
      </c:spPr>
    </c:plotArea>
    <c:legend>
      <c:legendPos val="r"/>
      <c:overlay val="0"/>
      <c:spPr>
        <a:noFill/>
        <a:ln>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26280</xdr:rowOff>
    </xdr:from>
    <xdr:to>
      <xdr:col>4</xdr:col>
      <xdr:colOff>1719000</xdr:colOff>
      <xdr:row>51</xdr:row>
      <xdr:rowOff>25560</xdr:rowOff>
    </xdr:to>
    <xdr:graphicFrame macro="">
      <xdr:nvGraphicFramePr>
        <xdr:cNvPr id="2" name="Chart 2">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zoomScale="85" zoomScaleNormal="34" workbookViewId="0">
      <selection activeCell="A2" sqref="A2"/>
    </sheetView>
  </sheetViews>
  <sheetFormatPr defaultColWidth="8.85546875" defaultRowHeight="21" x14ac:dyDescent="0.35"/>
  <cols>
    <col min="1" max="1" width="64.28515625" style="3" customWidth="1"/>
    <col min="2" max="2" width="23.28515625" style="4" customWidth="1"/>
    <col min="3" max="3" width="21" style="4" customWidth="1"/>
    <col min="4" max="4" width="25" style="4" customWidth="1"/>
    <col min="5" max="5" width="37" style="4" customWidth="1"/>
    <col min="6" max="6" width="11.140625" style="4" bestFit="1" customWidth="1"/>
    <col min="7" max="1024" width="8.85546875" style="4"/>
  </cols>
  <sheetData>
    <row r="1" spans="1:6" s="7" customFormat="1" ht="42" x14ac:dyDescent="0.35">
      <c r="A1" s="5" t="s">
        <v>0</v>
      </c>
      <c r="B1" s="6" t="s">
        <v>1</v>
      </c>
      <c r="C1" s="6" t="s">
        <v>2</v>
      </c>
      <c r="D1" s="6" t="s">
        <v>3</v>
      </c>
      <c r="E1" s="6" t="s">
        <v>4</v>
      </c>
    </row>
    <row r="2" spans="1:6" s="13" customFormat="1" x14ac:dyDescent="0.35">
      <c r="A2" s="8" t="s">
        <v>5</v>
      </c>
      <c r="B2" s="9">
        <f>0+COUNTIF('Architecture, Design and Threat'!G2:G45,"Valid")</f>
        <v>33</v>
      </c>
      <c r="C2" s="10">
        <f>COUNTIF('Architecture, Design and Threat'!G2:G45,"&lt;&gt;Not Applicable")</f>
        <v>39</v>
      </c>
      <c r="D2" s="11">
        <f t="shared" ref="D2:D16" si="0">(B2/C2)*100</f>
        <v>84.615384615384613</v>
      </c>
      <c r="E2" s="12"/>
      <c r="F2" s="170" t="s">
        <v>6</v>
      </c>
    </row>
    <row r="3" spans="1:6" x14ac:dyDescent="0.35">
      <c r="A3" s="8" t="s">
        <v>7</v>
      </c>
      <c r="B3" s="9">
        <f>COUNTIF(Authentication!G2:G58,"Valid")</f>
        <v>31</v>
      </c>
      <c r="C3" s="10">
        <f>COUNTIF(Authentication!G2:G58,"&lt;&gt;Not Applicable")</f>
        <v>56</v>
      </c>
      <c r="D3" s="11">
        <f t="shared" si="0"/>
        <v>55.357142857142861</v>
      </c>
      <c r="E3" s="12"/>
      <c r="F3" s="170" t="s">
        <v>1237</v>
      </c>
    </row>
    <row r="4" spans="1:6" x14ac:dyDescent="0.35">
      <c r="A4" s="8" t="s">
        <v>8</v>
      </c>
      <c r="B4" s="9">
        <f>COUNTIF('Session Management'!G2:G21,"Valid")</f>
        <v>13</v>
      </c>
      <c r="C4" s="10">
        <f>COUNTIF('Session Management'!G2:G21,"&lt;&gt;Not Applicable")</f>
        <v>20</v>
      </c>
      <c r="D4" s="11">
        <f t="shared" si="0"/>
        <v>65</v>
      </c>
      <c r="E4" s="12"/>
      <c r="F4" s="170" t="s">
        <v>9</v>
      </c>
    </row>
    <row r="5" spans="1:6" x14ac:dyDescent="0.35">
      <c r="A5" s="8" t="s">
        <v>10</v>
      </c>
      <c r="B5" s="9">
        <f>COUNTIF('Access Control'!G2:G11,"Valid")</f>
        <v>7</v>
      </c>
      <c r="C5" s="10">
        <f>COUNTIF('Access Control'!G2:G11,"&lt;&gt;Not Applicable")</f>
        <v>9</v>
      </c>
      <c r="D5" s="11">
        <f t="shared" si="0"/>
        <v>77.777777777777786</v>
      </c>
      <c r="E5" s="12"/>
      <c r="F5" s="170" t="s">
        <v>9</v>
      </c>
    </row>
    <row r="6" spans="1:6" x14ac:dyDescent="0.35">
      <c r="A6" s="8" t="s">
        <v>11</v>
      </c>
      <c r="B6" s="9">
        <f>COUNTIF('Validation, Sanitization and En'!G2:G31,"Valid")</f>
        <v>11</v>
      </c>
      <c r="C6" s="10">
        <f>COUNTIF('Validation, Sanitization and En'!G2:G31,"&lt;&gt;Not Applicable")</f>
        <v>30</v>
      </c>
      <c r="D6" s="11">
        <f t="shared" si="0"/>
        <v>36.666666666666664</v>
      </c>
      <c r="E6" s="12"/>
      <c r="F6" s="4" t="s">
        <v>9</v>
      </c>
    </row>
    <row r="7" spans="1:6" x14ac:dyDescent="0.35">
      <c r="A7" s="8" t="s">
        <v>12</v>
      </c>
      <c r="B7" s="9">
        <f>COUNTIF('Stored Cryptography'!G2:G17,"Valid")</f>
        <v>8</v>
      </c>
      <c r="C7" s="10">
        <f>COUNTIF('Stored Cryptography'!G2:G17,"&lt;&gt;Not Applicable")</f>
        <v>16</v>
      </c>
      <c r="D7" s="11">
        <f t="shared" si="0"/>
        <v>50</v>
      </c>
      <c r="E7" s="12"/>
      <c r="F7" s="170" t="s">
        <v>6</v>
      </c>
    </row>
    <row r="8" spans="1:6" x14ac:dyDescent="0.35">
      <c r="A8" s="8" t="s">
        <v>13</v>
      </c>
      <c r="B8" s="9">
        <f>COUNTIF('Error Handling and Logging'!G2:G14,"Valid")</f>
        <v>7</v>
      </c>
      <c r="C8" s="10">
        <f>COUNTIF('Error Handling and Logging'!G2:G14,"&lt;&gt;Not Applicable")</f>
        <v>12</v>
      </c>
      <c r="D8" s="11">
        <f t="shared" si="0"/>
        <v>58.333333333333336</v>
      </c>
      <c r="E8" s="12"/>
      <c r="F8" s="4" t="s">
        <v>14</v>
      </c>
    </row>
    <row r="9" spans="1:6" x14ac:dyDescent="0.35">
      <c r="A9" s="8" t="s">
        <v>15</v>
      </c>
      <c r="B9" s="9">
        <f>COUNTIF('Data Protection'!G2:G18,"Valid")</f>
        <v>3</v>
      </c>
      <c r="C9" s="10">
        <f>COUNTIF('Data Protection'!G2:G18,"&lt;&gt;Not Applicable")</f>
        <v>17</v>
      </c>
      <c r="D9" s="11">
        <f t="shared" si="0"/>
        <v>17.647058823529413</v>
      </c>
      <c r="E9" s="12"/>
      <c r="F9" s="4" t="s">
        <v>14</v>
      </c>
    </row>
    <row r="10" spans="1:6" x14ac:dyDescent="0.35">
      <c r="A10" s="8" t="s">
        <v>16</v>
      </c>
      <c r="B10" s="9">
        <f>COUNTIF(Communication!G2:G9,"Valid")</f>
        <v>4</v>
      </c>
      <c r="C10" s="10">
        <f>COUNTIF(Communication!G2:G9,"&lt;&gt;Not Applicable")</f>
        <v>8</v>
      </c>
      <c r="D10" s="11">
        <f t="shared" si="0"/>
        <v>50</v>
      </c>
      <c r="E10" s="12"/>
      <c r="F10" s="4" t="s">
        <v>14</v>
      </c>
    </row>
    <row r="11" spans="1:6" x14ac:dyDescent="0.35">
      <c r="A11" s="8" t="s">
        <v>17</v>
      </c>
      <c r="B11" s="9">
        <f>COUNTIF('Malicious Code'!G2:G11,"Valid")</f>
        <v>7</v>
      </c>
      <c r="C11" s="10">
        <f>COUNTIF('Malicious Code'!G2:G11,"&lt;&gt;Not Applicable")</f>
        <v>8</v>
      </c>
      <c r="D11" s="11">
        <f t="shared" si="0"/>
        <v>87.5</v>
      </c>
      <c r="E11" s="12"/>
      <c r="F11" s="4" t="s">
        <v>18</v>
      </c>
    </row>
    <row r="12" spans="1:6" x14ac:dyDescent="0.35">
      <c r="A12" s="8" t="s">
        <v>19</v>
      </c>
      <c r="B12" s="9">
        <f>COUNTIF('Business Logic'!G2:G9,"Valid")</f>
        <v>2</v>
      </c>
      <c r="C12" s="10">
        <f>COUNTIF('Business Logic'!G2:G9,"&lt;&gt;Not Applicable")</f>
        <v>8</v>
      </c>
      <c r="D12" s="11">
        <f t="shared" si="0"/>
        <v>25</v>
      </c>
      <c r="E12" s="12"/>
      <c r="F12" s="77" t="s">
        <v>18</v>
      </c>
    </row>
    <row r="13" spans="1:6" x14ac:dyDescent="0.35">
      <c r="A13" s="8" t="s">
        <v>20</v>
      </c>
      <c r="B13" s="9">
        <f>COUNTIF('Files and Resources'!G2:G16,"Valid")</f>
        <v>5</v>
      </c>
      <c r="C13" s="10">
        <f>COUNTIF('Files and Resources'!G2:G16,"&lt;&gt;Not Applicable")</f>
        <v>12</v>
      </c>
      <c r="D13" s="11">
        <f t="shared" si="0"/>
        <v>41.666666666666671</v>
      </c>
      <c r="E13" s="12"/>
      <c r="F13" s="77" t="s">
        <v>18</v>
      </c>
    </row>
    <row r="14" spans="1:6" x14ac:dyDescent="0.35">
      <c r="A14" s="8" t="s">
        <v>21</v>
      </c>
      <c r="B14" s="9">
        <f>COUNTIF('API and Web Service'!G2:G16,"Valid")</f>
        <v>5</v>
      </c>
      <c r="C14" s="10">
        <f>COUNTIF('API and Web Service'!G2:G16,"&lt;&gt;Not Applicable")</f>
        <v>10</v>
      </c>
      <c r="D14" s="11">
        <f t="shared" si="0"/>
        <v>50</v>
      </c>
      <c r="E14" s="12"/>
      <c r="F14" s="77" t="s">
        <v>18</v>
      </c>
    </row>
    <row r="15" spans="1:6" x14ac:dyDescent="0.35">
      <c r="A15" s="8" t="s">
        <v>22</v>
      </c>
      <c r="B15" s="9">
        <f>COUNTIF(Configuration!G2:G26,"Valid")</f>
        <v>10</v>
      </c>
      <c r="C15" s="10">
        <f>COUNTIF(Configuration!G2:G26,"&lt;&gt;Not Applicable")</f>
        <v>24</v>
      </c>
      <c r="D15" s="11">
        <f t="shared" si="0"/>
        <v>41.666666666666671</v>
      </c>
      <c r="E15" s="12"/>
      <c r="F15" s="4" t="s">
        <v>14</v>
      </c>
    </row>
    <row r="16" spans="1:6" x14ac:dyDescent="0.35">
      <c r="A16" s="8" t="s">
        <v>23</v>
      </c>
      <c r="B16" s="9">
        <f>SUM(B2:B15)</f>
        <v>146</v>
      </c>
      <c r="C16" s="10">
        <f>SUM(C2:C15)</f>
        <v>269</v>
      </c>
      <c r="D16" s="11">
        <f t="shared" si="0"/>
        <v>54.27509293680297</v>
      </c>
      <c r="E16" s="12"/>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5"/>
  <sheetViews>
    <sheetView topLeftCell="A38" zoomScale="40" zoomScaleNormal="40" workbookViewId="0">
      <selection activeCell="F43" sqref="F43"/>
    </sheetView>
  </sheetViews>
  <sheetFormatPr defaultColWidth="8.85546875" defaultRowHeight="21" x14ac:dyDescent="0.35"/>
  <cols>
    <col min="1" max="1" width="35.42578125" style="3" customWidth="1"/>
    <col min="2" max="2" width="8.85546875" style="14"/>
    <col min="3" max="3" width="10.7109375" style="14" customWidth="1"/>
    <col min="4" max="5" width="8.85546875" style="14"/>
    <col min="6" max="6" width="60.85546875" style="14" customWidth="1"/>
    <col min="7" max="7" width="19.140625" style="14" customWidth="1"/>
    <col min="8" max="8" width="36" style="14" customWidth="1"/>
    <col min="9" max="9" width="31.7109375" style="14" customWidth="1"/>
    <col min="10" max="10" width="41.7109375" style="14" customWidth="1"/>
    <col min="11" max="1024" width="8.85546875" style="14"/>
  </cols>
  <sheetData>
    <row r="1" spans="1:10" s="3" customFormat="1" ht="42.75" thickBot="1" x14ac:dyDescent="0.4">
      <c r="A1" s="153" t="s">
        <v>24</v>
      </c>
      <c r="B1" s="15" t="s">
        <v>25</v>
      </c>
      <c r="C1" s="15" t="s">
        <v>26</v>
      </c>
      <c r="D1" s="15" t="s">
        <v>27</v>
      </c>
      <c r="E1" s="15" t="s">
        <v>28</v>
      </c>
      <c r="F1" s="15" t="s">
        <v>29</v>
      </c>
      <c r="G1" s="15" t="s">
        <v>30</v>
      </c>
      <c r="H1" s="15" t="s">
        <v>31</v>
      </c>
      <c r="I1" s="15" t="s">
        <v>32</v>
      </c>
      <c r="J1" s="15" t="s">
        <v>33</v>
      </c>
    </row>
    <row r="2" spans="1:10" s="20" customFormat="1" ht="347.25" thickBot="1" x14ac:dyDescent="0.3">
      <c r="A2" s="173" t="s">
        <v>34</v>
      </c>
      <c r="B2" s="154" t="s">
        <v>35</v>
      </c>
      <c r="C2" s="155">
        <v>2</v>
      </c>
      <c r="D2" s="16"/>
      <c r="E2" s="18"/>
      <c r="F2" s="17" t="s">
        <v>36</v>
      </c>
      <c r="G2" s="18" t="s">
        <v>30</v>
      </c>
      <c r="H2" s="18" t="s">
        <v>1173</v>
      </c>
      <c r="I2" s="162" t="s">
        <v>1145</v>
      </c>
      <c r="J2" s="19"/>
    </row>
    <row r="3" spans="1:10" s="20" customFormat="1" ht="126.75" thickBot="1" x14ac:dyDescent="0.3">
      <c r="A3" s="173"/>
      <c r="B3" s="154" t="s">
        <v>37</v>
      </c>
      <c r="C3" s="156">
        <v>2</v>
      </c>
      <c r="D3" s="21">
        <v>1053</v>
      </c>
      <c r="E3" s="24"/>
      <c r="F3" s="23" t="s">
        <v>38</v>
      </c>
      <c r="G3" s="24" t="s">
        <v>30</v>
      </c>
      <c r="H3" s="24" t="s">
        <v>1173</v>
      </c>
      <c r="I3" s="24" t="s">
        <v>1146</v>
      </c>
      <c r="J3" s="25"/>
    </row>
    <row r="4" spans="1:10" s="20" customFormat="1" ht="205.5" thickBot="1" x14ac:dyDescent="0.3">
      <c r="A4" s="173"/>
      <c r="B4" s="154" t="s">
        <v>39</v>
      </c>
      <c r="C4" s="156">
        <v>2</v>
      </c>
      <c r="D4" s="21">
        <v>1110</v>
      </c>
      <c r="E4" s="24"/>
      <c r="F4" s="23" t="s">
        <v>40</v>
      </c>
      <c r="G4" s="24" t="s">
        <v>30</v>
      </c>
      <c r="H4" s="24" t="s">
        <v>1173</v>
      </c>
      <c r="I4" s="24" t="s">
        <v>1147</v>
      </c>
      <c r="J4" s="25" t="s">
        <v>1012</v>
      </c>
    </row>
    <row r="5" spans="1:10" s="20" customFormat="1" ht="157.5" x14ac:dyDescent="0.25">
      <c r="A5" s="173"/>
      <c r="B5" s="154" t="s">
        <v>41</v>
      </c>
      <c r="C5" s="156">
        <v>2</v>
      </c>
      <c r="D5" s="21">
        <v>1059</v>
      </c>
      <c r="E5" s="24"/>
      <c r="F5" s="23" t="s">
        <v>42</v>
      </c>
      <c r="G5" s="24" t="s">
        <v>30</v>
      </c>
      <c r="H5" s="24" t="s">
        <v>1173</v>
      </c>
      <c r="I5" s="24" t="s">
        <v>1148</v>
      </c>
      <c r="J5" s="25" t="s">
        <v>1012</v>
      </c>
    </row>
    <row r="6" spans="1:10" s="20" customFormat="1" ht="204.75" x14ac:dyDescent="0.25">
      <c r="A6" s="173"/>
      <c r="B6" s="154" t="s">
        <v>43</v>
      </c>
      <c r="C6" s="156">
        <v>2</v>
      </c>
      <c r="D6" s="21">
        <v>1059</v>
      </c>
      <c r="E6" s="24"/>
      <c r="F6" s="23" t="s">
        <v>44</v>
      </c>
      <c r="G6" s="24" t="s">
        <v>30</v>
      </c>
      <c r="H6" s="24" t="s">
        <v>1176</v>
      </c>
      <c r="I6" s="24" t="s">
        <v>1149</v>
      </c>
      <c r="J6" s="25"/>
    </row>
    <row r="7" spans="1:10" s="20" customFormat="1" ht="141.75" x14ac:dyDescent="0.25">
      <c r="A7" s="173"/>
      <c r="B7" s="154" t="s">
        <v>45</v>
      </c>
      <c r="C7" s="156">
        <v>2</v>
      </c>
      <c r="D7" s="21">
        <v>637</v>
      </c>
      <c r="E7" s="24"/>
      <c r="F7" s="23" t="s">
        <v>46</v>
      </c>
      <c r="G7" s="24" t="s">
        <v>30</v>
      </c>
      <c r="H7" s="24" t="s">
        <v>1173</v>
      </c>
      <c r="I7" s="24" t="s">
        <v>1152</v>
      </c>
      <c r="J7" s="25"/>
    </row>
    <row r="8" spans="1:10" s="20" customFormat="1" ht="126.75" thickBot="1" x14ac:dyDescent="0.3">
      <c r="A8" s="173"/>
      <c r="B8" s="154" t="s">
        <v>47</v>
      </c>
      <c r="C8" s="156">
        <v>2</v>
      </c>
      <c r="D8" s="21">
        <v>637</v>
      </c>
      <c r="E8" s="24"/>
      <c r="F8" s="23" t="s">
        <v>48</v>
      </c>
      <c r="G8" s="24" t="s">
        <v>30</v>
      </c>
      <c r="H8" s="24" t="s">
        <v>1177</v>
      </c>
      <c r="I8" s="24" t="s">
        <v>1151</v>
      </c>
      <c r="J8" s="25" t="s">
        <v>1150</v>
      </c>
    </row>
    <row r="9" spans="1:10" s="20" customFormat="1" ht="221.25" thickBot="1" x14ac:dyDescent="0.3">
      <c r="A9" s="173" t="s">
        <v>49</v>
      </c>
      <c r="B9" s="154" t="s">
        <v>50</v>
      </c>
      <c r="C9" s="156">
        <v>2</v>
      </c>
      <c r="D9" s="21">
        <v>250</v>
      </c>
      <c r="E9" s="24"/>
      <c r="F9" s="23" t="s">
        <v>51</v>
      </c>
      <c r="G9" s="24" t="s">
        <v>30</v>
      </c>
      <c r="H9" s="163" t="s">
        <v>1158</v>
      </c>
      <c r="I9" s="24" t="s">
        <v>1157</v>
      </c>
      <c r="J9" s="25"/>
    </row>
    <row r="10" spans="1:10" s="20" customFormat="1" ht="126.75" thickBot="1" x14ac:dyDescent="0.3">
      <c r="A10" s="173"/>
      <c r="B10" s="154" t="s">
        <v>52</v>
      </c>
      <c r="C10" s="156">
        <v>2</v>
      </c>
      <c r="D10" s="21">
        <v>306</v>
      </c>
      <c r="E10" s="24"/>
      <c r="F10" s="23" t="s">
        <v>53</v>
      </c>
      <c r="G10" s="24" t="s">
        <v>30</v>
      </c>
      <c r="H10" s="88" t="s">
        <v>1159</v>
      </c>
      <c r="I10" s="24" t="s">
        <v>1160</v>
      </c>
      <c r="J10" s="25"/>
    </row>
    <row r="11" spans="1:10" s="20" customFormat="1" ht="409.6" thickBot="1" x14ac:dyDescent="0.3">
      <c r="A11" s="173"/>
      <c r="B11" s="154" t="s">
        <v>54</v>
      </c>
      <c r="C11" s="156">
        <v>2</v>
      </c>
      <c r="D11" s="21">
        <v>306</v>
      </c>
      <c r="E11" s="24"/>
      <c r="F11" s="23" t="s">
        <v>55</v>
      </c>
      <c r="G11" s="24" t="s">
        <v>30</v>
      </c>
      <c r="H11" s="164" t="s">
        <v>1168</v>
      </c>
      <c r="I11" s="24" t="s">
        <v>1166</v>
      </c>
      <c r="J11" s="25" t="s">
        <v>1048</v>
      </c>
    </row>
    <row r="12" spans="1:10" s="20" customFormat="1" ht="327.95" customHeight="1" thickBot="1" x14ac:dyDescent="0.3">
      <c r="A12" s="173"/>
      <c r="B12" s="154" t="s">
        <v>56</v>
      </c>
      <c r="C12" s="156">
        <v>2</v>
      </c>
      <c r="D12" s="21">
        <v>306</v>
      </c>
      <c r="E12" s="24"/>
      <c r="F12" s="23" t="s">
        <v>57</v>
      </c>
      <c r="G12" s="24" t="s">
        <v>30</v>
      </c>
      <c r="H12" s="24" t="s">
        <v>1171</v>
      </c>
      <c r="I12" s="24" t="s">
        <v>1169</v>
      </c>
      <c r="J12" s="25" t="s">
        <v>1048</v>
      </c>
    </row>
    <row r="13" spans="1:10" s="20" customFormat="1" ht="42.75" thickBot="1" x14ac:dyDescent="0.3">
      <c r="A13" s="2" t="s">
        <v>58</v>
      </c>
      <c r="B13" s="154"/>
      <c r="C13" s="156"/>
      <c r="D13" s="21"/>
      <c r="E13" s="24"/>
      <c r="F13" s="23" t="s">
        <v>59</v>
      </c>
      <c r="G13" s="24" t="s">
        <v>60</v>
      </c>
      <c r="H13" s="24"/>
      <c r="I13" s="24"/>
      <c r="J13" s="25"/>
    </row>
    <row r="14" spans="1:10" s="20" customFormat="1" ht="409.6" thickBot="1" x14ac:dyDescent="0.3">
      <c r="A14" s="173" t="s">
        <v>61</v>
      </c>
      <c r="B14" s="154" t="s">
        <v>62</v>
      </c>
      <c r="C14" s="156">
        <v>2</v>
      </c>
      <c r="D14" s="21">
        <v>602</v>
      </c>
      <c r="E14" s="24"/>
      <c r="F14" s="23" t="s">
        <v>63</v>
      </c>
      <c r="G14" s="24" t="s">
        <v>30</v>
      </c>
      <c r="H14" s="104" t="s">
        <v>1180</v>
      </c>
      <c r="I14" s="24" t="s">
        <v>1178</v>
      </c>
      <c r="J14" s="25" t="s">
        <v>1179</v>
      </c>
    </row>
    <row r="15" spans="1:10" s="20" customFormat="1" ht="16.5" thickBot="1" x14ac:dyDescent="0.3">
      <c r="A15" s="173"/>
      <c r="B15" s="154" t="s">
        <v>64</v>
      </c>
      <c r="C15" s="156">
        <v>2</v>
      </c>
      <c r="D15" s="21">
        <v>284</v>
      </c>
      <c r="E15" s="24"/>
      <c r="F15" s="23" t="s">
        <v>65</v>
      </c>
      <c r="G15" s="24" t="s">
        <v>60</v>
      </c>
      <c r="H15" s="24"/>
      <c r="I15" s="24"/>
      <c r="J15" s="25"/>
    </row>
    <row r="16" spans="1:10" s="20" customFormat="1" ht="16.5" thickBot="1" x14ac:dyDescent="0.3">
      <c r="A16" s="173"/>
      <c r="B16" s="154" t="s">
        <v>66</v>
      </c>
      <c r="C16" s="156">
        <v>2</v>
      </c>
      <c r="D16" s="21">
        <v>272</v>
      </c>
      <c r="E16" s="24"/>
      <c r="F16" s="23" t="s">
        <v>67</v>
      </c>
      <c r="G16" s="24" t="s">
        <v>60</v>
      </c>
      <c r="H16" s="24"/>
      <c r="I16" s="24"/>
      <c r="J16" s="25"/>
    </row>
    <row r="17" spans="1:10" s="20" customFormat="1" ht="108" customHeight="1" thickBot="1" x14ac:dyDescent="0.3">
      <c r="A17" s="173"/>
      <c r="B17" s="154" t="s">
        <v>68</v>
      </c>
      <c r="C17" s="156">
        <v>2</v>
      </c>
      <c r="D17" s="21">
        <v>284</v>
      </c>
      <c r="E17" s="24"/>
      <c r="F17" s="23" t="s">
        <v>69</v>
      </c>
      <c r="G17" s="24" t="s">
        <v>30</v>
      </c>
      <c r="H17" s="24" t="s">
        <v>1055</v>
      </c>
      <c r="I17" s="24" t="s">
        <v>1183</v>
      </c>
      <c r="J17" s="25" t="s">
        <v>1065</v>
      </c>
    </row>
    <row r="18" spans="1:10" s="20" customFormat="1" ht="409.6" thickBot="1" x14ac:dyDescent="0.3">
      <c r="A18" s="173"/>
      <c r="B18" s="154" t="s">
        <v>70</v>
      </c>
      <c r="C18" s="156">
        <v>2</v>
      </c>
      <c r="D18" s="21">
        <v>275</v>
      </c>
      <c r="E18" s="24"/>
      <c r="F18" s="23" t="s">
        <v>71</v>
      </c>
      <c r="G18" s="24" t="s">
        <v>30</v>
      </c>
      <c r="H18" s="88" t="s">
        <v>1185</v>
      </c>
      <c r="I18" s="24" t="s">
        <v>1184</v>
      </c>
      <c r="J18" s="25" t="s">
        <v>1135</v>
      </c>
    </row>
    <row r="19" spans="1:10" s="20" customFormat="1" ht="79.5" thickBot="1" x14ac:dyDescent="0.3">
      <c r="A19" s="173" t="s">
        <v>72</v>
      </c>
      <c r="B19" s="154" t="s">
        <v>73</v>
      </c>
      <c r="C19" s="156">
        <v>2</v>
      </c>
      <c r="D19" s="21">
        <v>1029</v>
      </c>
      <c r="E19" s="24"/>
      <c r="F19" s="23" t="s">
        <v>74</v>
      </c>
      <c r="G19" s="24" t="s">
        <v>30</v>
      </c>
      <c r="H19" s="24" t="s">
        <v>1188</v>
      </c>
      <c r="I19" s="24" t="s">
        <v>1190</v>
      </c>
      <c r="J19" s="25" t="s">
        <v>1189</v>
      </c>
    </row>
    <row r="20" spans="1:10" s="20" customFormat="1" ht="119.45" customHeight="1" thickBot="1" x14ac:dyDescent="0.3">
      <c r="A20" s="173"/>
      <c r="B20" s="154" t="s">
        <v>75</v>
      </c>
      <c r="C20" s="156">
        <v>2</v>
      </c>
      <c r="D20" s="21">
        <v>502</v>
      </c>
      <c r="E20" s="24"/>
      <c r="F20" s="23" t="s">
        <v>76</v>
      </c>
      <c r="G20" s="24" t="s">
        <v>30</v>
      </c>
      <c r="H20" s="24" t="s">
        <v>1193</v>
      </c>
      <c r="I20" s="88" t="s">
        <v>1191</v>
      </c>
      <c r="J20" s="25" t="s">
        <v>1192</v>
      </c>
    </row>
    <row r="21" spans="1:10" s="20" customFormat="1" ht="189.75" thickBot="1" x14ac:dyDescent="0.3">
      <c r="A21" s="173"/>
      <c r="B21" s="154" t="s">
        <v>77</v>
      </c>
      <c r="C21" s="156">
        <v>2</v>
      </c>
      <c r="D21" s="21">
        <v>602</v>
      </c>
      <c r="E21" s="24"/>
      <c r="F21" s="23" t="s">
        <v>78</v>
      </c>
      <c r="G21" s="24" t="s">
        <v>30</v>
      </c>
      <c r="H21" s="24" t="s">
        <v>1195</v>
      </c>
      <c r="I21" s="24" t="s">
        <v>1194</v>
      </c>
      <c r="J21" s="25"/>
    </row>
    <row r="22" spans="1:10" s="20" customFormat="1" ht="78.599999999999994" customHeight="1" thickBot="1" x14ac:dyDescent="0.3">
      <c r="A22" s="173"/>
      <c r="B22" s="154" t="s">
        <v>79</v>
      </c>
      <c r="C22" s="156">
        <v>2</v>
      </c>
      <c r="D22" s="21">
        <v>116</v>
      </c>
      <c r="E22" s="24"/>
      <c r="F22" s="23" t="s">
        <v>80</v>
      </c>
      <c r="G22" s="24" t="s">
        <v>30</v>
      </c>
      <c r="H22" s="24" t="s">
        <v>1197</v>
      </c>
      <c r="I22" s="88" t="s">
        <v>1196</v>
      </c>
      <c r="J22" s="25"/>
    </row>
    <row r="23" spans="1:10" s="20" customFormat="1" ht="141.6" customHeight="1" thickBot="1" x14ac:dyDescent="0.3">
      <c r="A23" s="173" t="s">
        <v>81</v>
      </c>
      <c r="B23" s="154" t="s">
        <v>82</v>
      </c>
      <c r="C23" s="156">
        <v>2</v>
      </c>
      <c r="D23" s="21">
        <v>320</v>
      </c>
      <c r="E23" s="24"/>
      <c r="F23" s="23" t="s">
        <v>83</v>
      </c>
      <c r="G23" s="24" t="s">
        <v>282</v>
      </c>
      <c r="H23" s="166" t="s">
        <v>1198</v>
      </c>
      <c r="I23" s="24" t="s">
        <v>1088</v>
      </c>
      <c r="J23" s="25" t="s">
        <v>1087</v>
      </c>
    </row>
    <row r="24" spans="1:10" s="20" customFormat="1" ht="174" thickBot="1" x14ac:dyDescent="0.3">
      <c r="A24" s="173"/>
      <c r="B24" s="154" t="s">
        <v>84</v>
      </c>
      <c r="C24" s="156">
        <v>2</v>
      </c>
      <c r="D24" s="21">
        <v>320</v>
      </c>
      <c r="E24" s="24"/>
      <c r="F24" s="23" t="s">
        <v>85</v>
      </c>
      <c r="G24" s="24" t="s">
        <v>282</v>
      </c>
      <c r="H24" s="167" t="s">
        <v>1199</v>
      </c>
      <c r="I24" s="24" t="s">
        <v>1089</v>
      </c>
      <c r="J24" s="25" t="s">
        <v>1086</v>
      </c>
    </row>
    <row r="25" spans="1:10" s="20" customFormat="1" ht="189.75" thickBot="1" x14ac:dyDescent="0.3">
      <c r="A25" s="173"/>
      <c r="B25" s="154" t="s">
        <v>86</v>
      </c>
      <c r="C25" s="156">
        <v>2</v>
      </c>
      <c r="D25" s="21">
        <v>320</v>
      </c>
      <c r="E25" s="24"/>
      <c r="F25" s="23" t="s">
        <v>87</v>
      </c>
      <c r="G25" s="24" t="s">
        <v>282</v>
      </c>
      <c r="H25" s="167" t="s">
        <v>1200</v>
      </c>
      <c r="I25" s="24" t="s">
        <v>1084</v>
      </c>
      <c r="J25" s="25" t="s">
        <v>1085</v>
      </c>
    </row>
    <row r="26" spans="1:10" s="20" customFormat="1" ht="63.75" thickBot="1" x14ac:dyDescent="0.3">
      <c r="A26" s="173"/>
      <c r="B26" s="154" t="s">
        <v>88</v>
      </c>
      <c r="C26" s="156">
        <v>2</v>
      </c>
      <c r="D26" s="21">
        <v>320</v>
      </c>
      <c r="E26" s="24"/>
      <c r="F26" s="24" t="s">
        <v>89</v>
      </c>
      <c r="G26" s="24" t="s">
        <v>30</v>
      </c>
      <c r="H26" s="24" t="s">
        <v>1201</v>
      </c>
      <c r="I26" s="24" t="s">
        <v>1203</v>
      </c>
      <c r="J26" s="151" t="s">
        <v>1202</v>
      </c>
    </row>
    <row r="27" spans="1:10" s="20" customFormat="1" ht="107.1" customHeight="1" thickBot="1" x14ac:dyDescent="0.3">
      <c r="A27" s="173" t="s">
        <v>90</v>
      </c>
      <c r="B27" s="154" t="s">
        <v>91</v>
      </c>
      <c r="C27" s="156">
        <v>2</v>
      </c>
      <c r="D27" s="21">
        <v>1009</v>
      </c>
      <c r="E27" s="24"/>
      <c r="F27" s="23" t="s">
        <v>92</v>
      </c>
      <c r="G27" s="24" t="s">
        <v>282</v>
      </c>
      <c r="H27" s="166" t="s">
        <v>1204</v>
      </c>
      <c r="I27" s="24" t="s">
        <v>1093</v>
      </c>
      <c r="J27" s="25" t="s">
        <v>1092</v>
      </c>
    </row>
    <row r="28" spans="1:10" s="20" customFormat="1" ht="111" thickBot="1" x14ac:dyDescent="0.3">
      <c r="A28" s="173"/>
      <c r="B28" s="154" t="s">
        <v>93</v>
      </c>
      <c r="C28" s="156">
        <v>2</v>
      </c>
      <c r="D28" s="21"/>
      <c r="E28" s="24"/>
      <c r="F28" s="23" t="s">
        <v>94</v>
      </c>
      <c r="G28" s="24" t="s">
        <v>282</v>
      </c>
      <c r="H28" s="167" t="s">
        <v>1205</v>
      </c>
      <c r="I28" s="24" t="s">
        <v>1094</v>
      </c>
      <c r="J28" s="25" t="s">
        <v>1095</v>
      </c>
    </row>
    <row r="29" spans="1:10" s="20" customFormat="1" ht="79.5" thickBot="1" x14ac:dyDescent="0.3">
      <c r="A29" s="173" t="s">
        <v>95</v>
      </c>
      <c r="B29" s="154" t="s">
        <v>96</v>
      </c>
      <c r="C29" s="156">
        <v>2</v>
      </c>
      <c r="D29" s="21"/>
      <c r="E29" s="24"/>
      <c r="F29" s="23" t="s">
        <v>97</v>
      </c>
      <c r="G29" s="24" t="s">
        <v>30</v>
      </c>
      <c r="H29" s="24" t="s">
        <v>1208</v>
      </c>
      <c r="I29" s="24" t="s">
        <v>1206</v>
      </c>
      <c r="J29" s="25" t="s">
        <v>1207</v>
      </c>
    </row>
    <row r="30" spans="1:10" s="20" customFormat="1" ht="78.75" x14ac:dyDescent="0.25">
      <c r="A30" s="173"/>
      <c r="B30" s="154" t="s">
        <v>98</v>
      </c>
      <c r="C30" s="156">
        <v>2</v>
      </c>
      <c r="D30" s="21"/>
      <c r="E30" s="24"/>
      <c r="F30" s="23" t="s">
        <v>99</v>
      </c>
      <c r="G30" s="24" t="s">
        <v>30</v>
      </c>
      <c r="H30" s="24" t="s">
        <v>1209</v>
      </c>
      <c r="I30" s="24" t="s">
        <v>1210</v>
      </c>
      <c r="J30" s="25" t="s">
        <v>1211</v>
      </c>
    </row>
    <row r="31" spans="1:10" s="20" customFormat="1" ht="79.5" customHeight="1" x14ac:dyDescent="0.25">
      <c r="A31" s="173" t="s">
        <v>100</v>
      </c>
      <c r="B31" s="154" t="s">
        <v>101</v>
      </c>
      <c r="C31" s="156">
        <v>2</v>
      </c>
      <c r="D31" s="21">
        <v>319</v>
      </c>
      <c r="E31" s="24"/>
      <c r="F31" s="23" t="s">
        <v>102</v>
      </c>
      <c r="G31" s="24" t="s">
        <v>30</v>
      </c>
      <c r="H31" s="24" t="s">
        <v>1212</v>
      </c>
      <c r="I31" s="24" t="s">
        <v>1213</v>
      </c>
      <c r="J31" s="25"/>
    </row>
    <row r="32" spans="1:10" s="20" customFormat="1" ht="63" x14ac:dyDescent="0.25">
      <c r="A32" s="173"/>
      <c r="B32" s="154" t="s">
        <v>103</v>
      </c>
      <c r="C32" s="156">
        <v>2</v>
      </c>
      <c r="D32" s="21">
        <v>295</v>
      </c>
      <c r="E32" s="24"/>
      <c r="F32" s="23" t="s">
        <v>104</v>
      </c>
      <c r="G32" s="24" t="s">
        <v>30</v>
      </c>
      <c r="H32" s="24" t="s">
        <v>1214</v>
      </c>
      <c r="I32" s="24" t="s">
        <v>1215</v>
      </c>
      <c r="J32" s="25"/>
    </row>
    <row r="33" spans="1:10" s="20" customFormat="1" ht="142.5" thickBot="1" x14ac:dyDescent="0.3">
      <c r="A33" s="2" t="s">
        <v>105</v>
      </c>
      <c r="B33" s="154" t="s">
        <v>106</v>
      </c>
      <c r="C33" s="156">
        <v>2</v>
      </c>
      <c r="D33" s="21">
        <v>284</v>
      </c>
      <c r="E33" s="24"/>
      <c r="F33" s="23" t="s">
        <v>107</v>
      </c>
      <c r="G33" s="24" t="s">
        <v>30</v>
      </c>
      <c r="H33" s="24"/>
      <c r="I33" s="24" t="s">
        <v>1216</v>
      </c>
      <c r="J33" s="25" t="s">
        <v>1111</v>
      </c>
    </row>
    <row r="34" spans="1:10" s="20" customFormat="1" ht="126.75" thickBot="1" x14ac:dyDescent="0.3">
      <c r="A34" s="173" t="s">
        <v>108</v>
      </c>
      <c r="B34" s="154" t="s">
        <v>109</v>
      </c>
      <c r="C34" s="156">
        <v>2</v>
      </c>
      <c r="D34" s="21">
        <v>1059</v>
      </c>
      <c r="E34" s="24"/>
      <c r="F34" s="23" t="s">
        <v>110</v>
      </c>
      <c r="G34" s="24" t="s">
        <v>30</v>
      </c>
      <c r="H34" s="24"/>
      <c r="I34" s="88" t="s">
        <v>1217</v>
      </c>
      <c r="J34" s="25" t="s">
        <v>1218</v>
      </c>
    </row>
    <row r="35" spans="1:10" s="20" customFormat="1" ht="95.25" thickBot="1" x14ac:dyDescent="0.3">
      <c r="A35" s="173"/>
      <c r="B35" s="154" t="s">
        <v>111</v>
      </c>
      <c r="C35" s="156">
        <v>2</v>
      </c>
      <c r="D35" s="21">
        <v>362</v>
      </c>
      <c r="E35" s="24"/>
      <c r="F35" s="23" t="s">
        <v>112</v>
      </c>
      <c r="G35" s="24" t="s">
        <v>30</v>
      </c>
      <c r="H35" s="24" t="s">
        <v>1221</v>
      </c>
      <c r="I35" s="24" t="s">
        <v>1220</v>
      </c>
      <c r="J35" s="25" t="s">
        <v>1219</v>
      </c>
    </row>
    <row r="36" spans="1:10" s="20" customFormat="1" ht="94.5" x14ac:dyDescent="0.25">
      <c r="A36" s="173"/>
      <c r="B36" s="154" t="s">
        <v>113</v>
      </c>
      <c r="C36" s="156">
        <v>2</v>
      </c>
      <c r="D36" s="21">
        <v>367</v>
      </c>
      <c r="E36" s="24"/>
      <c r="F36" s="23" t="s">
        <v>114</v>
      </c>
      <c r="G36" s="24" t="s">
        <v>30</v>
      </c>
      <c r="H36" s="24" t="s">
        <v>1224</v>
      </c>
      <c r="I36" s="24" t="s">
        <v>1223</v>
      </c>
      <c r="J36" s="25" t="s">
        <v>1222</v>
      </c>
    </row>
    <row r="37" spans="1:10" s="20" customFormat="1" ht="16.5" customHeight="1" thickBot="1" x14ac:dyDescent="0.3">
      <c r="A37" s="173" t="s">
        <v>115</v>
      </c>
      <c r="B37" s="154" t="s">
        <v>116</v>
      </c>
      <c r="C37" s="156">
        <v>2</v>
      </c>
      <c r="D37" s="21">
        <v>552</v>
      </c>
      <c r="E37" s="24"/>
      <c r="F37" s="23" t="s">
        <v>117</v>
      </c>
      <c r="G37" s="24" t="s">
        <v>60</v>
      </c>
      <c r="H37" s="24"/>
      <c r="I37" s="24"/>
      <c r="J37" s="25"/>
    </row>
    <row r="38" spans="1:10" s="20" customFormat="1" ht="95.25" thickBot="1" x14ac:dyDescent="0.3">
      <c r="A38" s="173"/>
      <c r="B38" s="154" t="s">
        <v>118</v>
      </c>
      <c r="C38" s="156">
        <v>2</v>
      </c>
      <c r="D38" s="21">
        <v>646</v>
      </c>
      <c r="E38" s="24"/>
      <c r="F38" s="23" t="s">
        <v>119</v>
      </c>
      <c r="G38" s="24" t="s">
        <v>30</v>
      </c>
      <c r="H38" s="24" t="s">
        <v>1226</v>
      </c>
      <c r="I38" s="24" t="s">
        <v>1225</v>
      </c>
      <c r="J38" s="25"/>
    </row>
    <row r="39" spans="1:10" s="20" customFormat="1" ht="21.75" thickBot="1" x14ac:dyDescent="0.3">
      <c r="A39" s="2" t="s">
        <v>120</v>
      </c>
      <c r="B39" s="154"/>
      <c r="C39" s="156"/>
      <c r="D39" s="21"/>
      <c r="E39" s="24"/>
      <c r="F39" s="23" t="s">
        <v>59</v>
      </c>
      <c r="G39" s="24" t="s">
        <v>60</v>
      </c>
      <c r="H39" s="24"/>
      <c r="I39" s="24"/>
      <c r="J39" s="25"/>
    </row>
    <row r="40" spans="1:10" s="20" customFormat="1" ht="78.75" x14ac:dyDescent="0.25">
      <c r="A40" s="173" t="s">
        <v>121</v>
      </c>
      <c r="B40" s="154" t="s">
        <v>122</v>
      </c>
      <c r="C40" s="156">
        <v>2</v>
      </c>
      <c r="D40" s="21">
        <v>923</v>
      </c>
      <c r="E40" s="24"/>
      <c r="F40" s="23" t="s">
        <v>123</v>
      </c>
      <c r="G40" s="24" t="s">
        <v>30</v>
      </c>
      <c r="H40" s="24"/>
      <c r="I40" s="24" t="s">
        <v>1227</v>
      </c>
      <c r="J40" s="25"/>
    </row>
    <row r="41" spans="1:10" s="20" customFormat="1" ht="78.75" x14ac:dyDescent="0.25">
      <c r="A41" s="173"/>
      <c r="B41" s="154" t="s">
        <v>124</v>
      </c>
      <c r="C41" s="156">
        <v>2</v>
      </c>
      <c r="D41" s="21">
        <v>494</v>
      </c>
      <c r="E41" s="24"/>
      <c r="F41" s="23" t="s">
        <v>125</v>
      </c>
      <c r="G41" s="24" t="s">
        <v>30</v>
      </c>
      <c r="H41" s="24" t="s">
        <v>1230</v>
      </c>
      <c r="I41" s="24" t="s">
        <v>1228</v>
      </c>
      <c r="J41" s="25" t="s">
        <v>1229</v>
      </c>
    </row>
    <row r="42" spans="1:10" s="20" customFormat="1" ht="78.75" x14ac:dyDescent="0.25">
      <c r="A42" s="173"/>
      <c r="B42" s="154" t="s">
        <v>126</v>
      </c>
      <c r="C42" s="156">
        <v>2</v>
      </c>
      <c r="D42" s="21">
        <v>1104</v>
      </c>
      <c r="E42" s="24"/>
      <c r="F42" s="23" t="s">
        <v>127</v>
      </c>
      <c r="G42" s="24" t="s">
        <v>30</v>
      </c>
      <c r="H42" s="24" t="s">
        <v>1233</v>
      </c>
      <c r="I42" s="24" t="s">
        <v>1232</v>
      </c>
      <c r="J42" s="25" t="s">
        <v>1231</v>
      </c>
    </row>
    <row r="43" spans="1:10" s="20" customFormat="1" ht="189" x14ac:dyDescent="0.25">
      <c r="A43" s="173"/>
      <c r="B43" s="154" t="s">
        <v>128</v>
      </c>
      <c r="C43" s="156">
        <v>2</v>
      </c>
      <c r="D43" s="21"/>
      <c r="E43" s="24"/>
      <c r="F43" s="23" t="s">
        <v>129</v>
      </c>
      <c r="G43" s="24" t="s">
        <v>282</v>
      </c>
      <c r="H43" s="167" t="s">
        <v>1234</v>
      </c>
      <c r="I43" s="24" t="s">
        <v>1120</v>
      </c>
      <c r="J43" s="25" t="s">
        <v>1116</v>
      </c>
    </row>
    <row r="44" spans="1:10" s="20" customFormat="1" ht="94.5" x14ac:dyDescent="0.25">
      <c r="A44" s="173"/>
      <c r="B44" s="154" t="s">
        <v>130</v>
      </c>
      <c r="C44" s="156">
        <v>2</v>
      </c>
      <c r="D44" s="21">
        <v>265</v>
      </c>
      <c r="E44" s="24"/>
      <c r="F44" s="23" t="s">
        <v>131</v>
      </c>
      <c r="G44" s="24" t="s">
        <v>30</v>
      </c>
      <c r="H44" s="24"/>
      <c r="I44" s="24" t="s">
        <v>1235</v>
      </c>
      <c r="J44" s="25" t="s">
        <v>1236</v>
      </c>
    </row>
    <row r="45" spans="1:10" s="20" customFormat="1" ht="63" x14ac:dyDescent="0.25">
      <c r="A45" s="173"/>
      <c r="B45" s="154" t="s">
        <v>132</v>
      </c>
      <c r="C45" s="157">
        <v>2</v>
      </c>
      <c r="D45" s="27">
        <v>477</v>
      </c>
      <c r="E45" s="79"/>
      <c r="F45" s="29" t="s">
        <v>133</v>
      </c>
      <c r="G45" s="79" t="s">
        <v>30</v>
      </c>
      <c r="H45" s="79"/>
      <c r="I45" s="79" t="s">
        <v>1238</v>
      </c>
      <c r="J45" s="80" t="s">
        <v>1115</v>
      </c>
    </row>
  </sheetData>
  <mergeCells count="11">
    <mergeCell ref="A40:A45"/>
    <mergeCell ref="A27:A28"/>
    <mergeCell ref="A29:A30"/>
    <mergeCell ref="A31:A32"/>
    <mergeCell ref="A34:A36"/>
    <mergeCell ref="A37:A38"/>
    <mergeCell ref="A2:A8"/>
    <mergeCell ref="A9:A12"/>
    <mergeCell ref="A14:A18"/>
    <mergeCell ref="A19:A22"/>
    <mergeCell ref="A23:A26"/>
  </mergeCells>
  <dataValidations count="1">
    <dataValidation type="list" operator="equal" showErrorMessage="1" sqref="G2:G45" xr:uid="{00000000-0002-0000-0100-000000000000}">
      <formula1>"Valid,Non-valid,Not Applicable"</formula1>
      <formula2>0</formula2>
    </dataValidation>
  </dataValidation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8"/>
  <sheetViews>
    <sheetView topLeftCell="A31" zoomScale="85" zoomScaleNormal="85" workbookViewId="0">
      <selection activeCell="G35" sqref="G35"/>
    </sheetView>
  </sheetViews>
  <sheetFormatPr defaultColWidth="8.85546875" defaultRowHeight="21" x14ac:dyDescent="0.35"/>
  <cols>
    <col min="1" max="1" width="34.28515625" style="3" customWidth="1"/>
    <col min="2" max="2" width="8.85546875" style="31"/>
    <col min="3" max="3" width="14.85546875" style="32" customWidth="1"/>
    <col min="4" max="5" width="8.85546875" style="32"/>
    <col min="6" max="6" width="73" style="14" customWidth="1"/>
    <col min="7" max="7" width="25.42578125" style="14" customWidth="1"/>
    <col min="8" max="8" width="30.28515625" style="14" customWidth="1"/>
    <col min="9" max="9" width="33.42578125" style="14" customWidth="1"/>
    <col min="10" max="10" width="29" style="14" customWidth="1"/>
    <col min="11" max="1024" width="8.85546875" style="14"/>
  </cols>
  <sheetData>
    <row r="1" spans="1:10" s="36" customFormat="1" ht="42.75" thickBot="1" x14ac:dyDescent="0.25">
      <c r="A1" s="33" t="s">
        <v>24</v>
      </c>
      <c r="B1" s="34" t="s">
        <v>25</v>
      </c>
      <c r="C1" s="34" t="s">
        <v>26</v>
      </c>
      <c r="D1" s="34" t="s">
        <v>27</v>
      </c>
      <c r="E1" s="34" t="s">
        <v>28</v>
      </c>
      <c r="F1" s="35" t="s">
        <v>29</v>
      </c>
      <c r="G1" s="35" t="s">
        <v>30</v>
      </c>
      <c r="H1" s="35" t="s">
        <v>31</v>
      </c>
      <c r="I1" s="35" t="s">
        <v>32</v>
      </c>
      <c r="J1" s="35" t="s">
        <v>33</v>
      </c>
    </row>
    <row r="2" spans="1:10" s="20" customFormat="1" ht="48" customHeight="1" thickBot="1" x14ac:dyDescent="0.3">
      <c r="A2" s="174" t="s">
        <v>1136</v>
      </c>
      <c r="B2" s="37" t="s">
        <v>134</v>
      </c>
      <c r="C2" s="38">
        <v>1</v>
      </c>
      <c r="D2" s="39">
        <v>521</v>
      </c>
      <c r="E2" s="40" t="s">
        <v>135</v>
      </c>
      <c r="F2" s="41" t="s">
        <v>136</v>
      </c>
      <c r="G2" s="169" t="s">
        <v>30</v>
      </c>
      <c r="H2" s="43" t="s">
        <v>1247</v>
      </c>
      <c r="I2" s="149" t="s">
        <v>1006</v>
      </c>
      <c r="J2" s="44" t="s">
        <v>1007</v>
      </c>
    </row>
    <row r="3" spans="1:10" s="20" customFormat="1" ht="315.75" thickBot="1" x14ac:dyDescent="0.3">
      <c r="A3" s="174"/>
      <c r="B3" s="37" t="s">
        <v>137</v>
      </c>
      <c r="C3" s="45">
        <v>1</v>
      </c>
      <c r="D3" s="46">
        <v>521</v>
      </c>
      <c r="E3" s="21" t="s">
        <v>135</v>
      </c>
      <c r="F3" s="23" t="s">
        <v>138</v>
      </c>
      <c r="G3" s="165" t="s">
        <v>30</v>
      </c>
      <c r="H3" s="24" t="s">
        <v>1248</v>
      </c>
      <c r="I3" s="24" t="s">
        <v>1008</v>
      </c>
      <c r="J3" s="150" t="s">
        <v>1003</v>
      </c>
    </row>
    <row r="4" spans="1:10" s="20" customFormat="1" ht="362.25" x14ac:dyDescent="0.25">
      <c r="A4" s="174"/>
      <c r="B4" s="37" t="s">
        <v>139</v>
      </c>
      <c r="C4" s="45">
        <v>1</v>
      </c>
      <c r="D4" s="46">
        <v>521</v>
      </c>
      <c r="E4" s="21" t="s">
        <v>135</v>
      </c>
      <c r="F4" s="23" t="s">
        <v>140</v>
      </c>
      <c r="G4" s="165" t="s">
        <v>30</v>
      </c>
      <c r="H4" s="24" t="s">
        <v>1249</v>
      </c>
      <c r="I4" s="148" t="s">
        <v>1009</v>
      </c>
      <c r="J4" s="25" t="s">
        <v>1017</v>
      </c>
    </row>
    <row r="5" spans="1:10" s="20" customFormat="1" ht="252" x14ac:dyDescent="0.25">
      <c r="A5" s="174"/>
      <c r="B5" s="37" t="s">
        <v>141</v>
      </c>
      <c r="C5" s="45">
        <v>1</v>
      </c>
      <c r="D5" s="46">
        <v>521</v>
      </c>
      <c r="E5" s="21" t="s">
        <v>135</v>
      </c>
      <c r="F5" s="23" t="s">
        <v>142</v>
      </c>
      <c r="G5" s="165" t="s">
        <v>30</v>
      </c>
      <c r="H5" s="24" t="s">
        <v>1240</v>
      </c>
      <c r="I5" s="148" t="s">
        <v>1004</v>
      </c>
      <c r="J5" s="25" t="s">
        <v>1005</v>
      </c>
    </row>
    <row r="6" spans="1:10" s="20" customFormat="1" ht="230.25" x14ac:dyDescent="0.25">
      <c r="A6" s="174"/>
      <c r="B6" s="37" t="s">
        <v>143</v>
      </c>
      <c r="C6" s="45">
        <v>1</v>
      </c>
      <c r="D6" s="46">
        <v>620</v>
      </c>
      <c r="E6" s="21" t="s">
        <v>135</v>
      </c>
      <c r="F6" s="23" t="s">
        <v>144</v>
      </c>
      <c r="G6" s="165" t="s">
        <v>30</v>
      </c>
      <c r="H6" s="24" t="s">
        <v>1250</v>
      </c>
      <c r="I6" s="151" t="s">
        <v>1010</v>
      </c>
      <c r="J6" s="152" t="s">
        <v>1016</v>
      </c>
    </row>
    <row r="7" spans="1:10" s="20" customFormat="1" ht="255.75" x14ac:dyDescent="0.25">
      <c r="A7" s="174"/>
      <c r="B7" s="37" t="s">
        <v>145</v>
      </c>
      <c r="C7" s="45">
        <v>1</v>
      </c>
      <c r="D7" s="46">
        <v>620</v>
      </c>
      <c r="E7" s="21" t="s">
        <v>135</v>
      </c>
      <c r="F7" s="23" t="s">
        <v>146</v>
      </c>
      <c r="G7" s="165" t="s">
        <v>30</v>
      </c>
      <c r="H7" s="24" t="s">
        <v>1251</v>
      </c>
      <c r="I7" s="151" t="s">
        <v>1011</v>
      </c>
      <c r="J7" s="152" t="s">
        <v>1015</v>
      </c>
    </row>
    <row r="8" spans="1:10" s="20" customFormat="1" ht="362.25" x14ac:dyDescent="0.25">
      <c r="A8" s="174"/>
      <c r="B8" s="37" t="s">
        <v>147</v>
      </c>
      <c r="C8" s="45">
        <v>1</v>
      </c>
      <c r="D8" s="46">
        <v>521</v>
      </c>
      <c r="E8" s="21" t="s">
        <v>135</v>
      </c>
      <c r="F8" s="23" t="s">
        <v>148</v>
      </c>
      <c r="G8" s="22" t="s">
        <v>30</v>
      </c>
      <c r="H8" s="24"/>
      <c r="I8" s="24" t="s">
        <v>1013</v>
      </c>
      <c r="J8" s="152" t="s">
        <v>1014</v>
      </c>
    </row>
    <row r="9" spans="1:10" s="20" customFormat="1" ht="330.75" x14ac:dyDescent="0.25">
      <c r="A9" s="174"/>
      <c r="B9" s="37" t="s">
        <v>149</v>
      </c>
      <c r="C9" s="45">
        <v>1</v>
      </c>
      <c r="D9" s="46">
        <v>521</v>
      </c>
      <c r="E9" s="21" t="s">
        <v>135</v>
      </c>
      <c r="F9" s="23" t="s">
        <v>150</v>
      </c>
      <c r="G9" s="22" t="s">
        <v>30</v>
      </c>
      <c r="H9" s="24"/>
      <c r="I9" s="24" t="s">
        <v>1018</v>
      </c>
      <c r="J9" s="150" t="s">
        <v>1019</v>
      </c>
    </row>
    <row r="10" spans="1:10" s="20" customFormat="1" ht="378" x14ac:dyDescent="0.25">
      <c r="A10" s="174"/>
      <c r="B10" s="37" t="s">
        <v>151</v>
      </c>
      <c r="C10" s="45">
        <v>1</v>
      </c>
      <c r="D10" s="46">
        <v>521</v>
      </c>
      <c r="E10" s="21" t="s">
        <v>135</v>
      </c>
      <c r="F10" s="23" t="s">
        <v>152</v>
      </c>
      <c r="G10" s="22" t="s">
        <v>30</v>
      </c>
      <c r="H10" s="24"/>
      <c r="I10" s="24" t="s">
        <v>1020</v>
      </c>
      <c r="J10" s="25" t="s">
        <v>1021</v>
      </c>
    </row>
    <row r="11" spans="1:10" s="20" customFormat="1" ht="378" x14ac:dyDescent="0.25">
      <c r="A11" s="174"/>
      <c r="B11" s="37" t="s">
        <v>153</v>
      </c>
      <c r="C11" s="45">
        <v>1</v>
      </c>
      <c r="D11" s="46">
        <v>263</v>
      </c>
      <c r="E11" s="21" t="s">
        <v>135</v>
      </c>
      <c r="F11" s="23" t="s">
        <v>154</v>
      </c>
      <c r="G11" s="22" t="s">
        <v>30</v>
      </c>
      <c r="H11" s="24"/>
      <c r="I11" s="24" t="s">
        <v>1022</v>
      </c>
      <c r="J11" s="25" t="s">
        <v>1023</v>
      </c>
    </row>
    <row r="12" spans="1:10" s="20" customFormat="1" ht="268.5" x14ac:dyDescent="0.25">
      <c r="A12" s="174"/>
      <c r="B12" s="37" t="s">
        <v>155</v>
      </c>
      <c r="C12" s="45">
        <v>1</v>
      </c>
      <c r="D12" s="46">
        <v>521</v>
      </c>
      <c r="E12" s="21" t="s">
        <v>135</v>
      </c>
      <c r="F12" s="23" t="s">
        <v>156</v>
      </c>
      <c r="G12" s="22" t="s">
        <v>30</v>
      </c>
      <c r="H12" s="24"/>
      <c r="I12" s="151" t="s">
        <v>1024</v>
      </c>
      <c r="J12" s="150" t="s">
        <v>1025</v>
      </c>
    </row>
    <row r="13" spans="1:10" s="20" customFormat="1" ht="378" x14ac:dyDescent="0.25">
      <c r="A13" s="174"/>
      <c r="B13" s="37" t="s">
        <v>157</v>
      </c>
      <c r="C13" s="45">
        <v>1</v>
      </c>
      <c r="D13" s="46">
        <v>521</v>
      </c>
      <c r="E13" s="21" t="s">
        <v>135</v>
      </c>
      <c r="F13" s="23" t="s">
        <v>158</v>
      </c>
      <c r="G13" s="22" t="s">
        <v>30</v>
      </c>
      <c r="H13" s="24"/>
      <c r="I13" s="24" t="s">
        <v>1026</v>
      </c>
      <c r="J13" s="150" t="s">
        <v>1027</v>
      </c>
    </row>
    <row r="14" spans="1:10" s="20" customFormat="1" ht="111" customHeight="1" x14ac:dyDescent="0.25">
      <c r="A14" s="174" t="s">
        <v>1141</v>
      </c>
      <c r="B14" s="37" t="s">
        <v>159</v>
      </c>
      <c r="C14" s="45">
        <v>1</v>
      </c>
      <c r="D14" s="46">
        <v>307</v>
      </c>
      <c r="E14" s="21" t="s">
        <v>160</v>
      </c>
      <c r="F14" s="23" t="s">
        <v>161</v>
      </c>
      <c r="G14" s="165" t="s">
        <v>30</v>
      </c>
      <c r="H14" s="24" t="s">
        <v>1304</v>
      </c>
      <c r="I14" s="24" t="s">
        <v>1028</v>
      </c>
      <c r="J14" s="150" t="s">
        <v>1029</v>
      </c>
    </row>
    <row r="15" spans="1:10" s="20" customFormat="1" ht="346.5" x14ac:dyDescent="0.25">
      <c r="A15" s="174"/>
      <c r="B15" s="37" t="s">
        <v>162</v>
      </c>
      <c r="C15" s="45">
        <v>1</v>
      </c>
      <c r="D15" s="46">
        <v>304</v>
      </c>
      <c r="E15" s="21" t="s">
        <v>163</v>
      </c>
      <c r="F15" s="23" t="s">
        <v>164</v>
      </c>
      <c r="G15" s="22" t="s">
        <v>30</v>
      </c>
      <c r="H15" s="24"/>
      <c r="I15" s="24" t="s">
        <v>1030</v>
      </c>
      <c r="J15" s="150" t="s">
        <v>1031</v>
      </c>
    </row>
    <row r="16" spans="1:10" s="20" customFormat="1" ht="393.75" x14ac:dyDescent="0.25">
      <c r="A16" s="174"/>
      <c r="B16" s="37" t="s">
        <v>165</v>
      </c>
      <c r="C16" s="45">
        <v>1</v>
      </c>
      <c r="D16" s="46">
        <v>620</v>
      </c>
      <c r="E16" s="21"/>
      <c r="F16" s="23" t="s">
        <v>166</v>
      </c>
      <c r="G16" s="22" t="s">
        <v>30</v>
      </c>
      <c r="H16" s="24"/>
      <c r="I16" s="24" t="s">
        <v>1032</v>
      </c>
      <c r="J16" s="150" t="s">
        <v>1033</v>
      </c>
    </row>
    <row r="17" spans="1:10" s="20" customFormat="1" ht="378" x14ac:dyDescent="0.25">
      <c r="A17" s="174"/>
      <c r="B17" s="37" t="s">
        <v>167</v>
      </c>
      <c r="C17" s="47">
        <v>3</v>
      </c>
      <c r="D17" s="46">
        <v>308</v>
      </c>
      <c r="E17" s="21" t="s">
        <v>168</v>
      </c>
      <c r="F17" s="23" t="s">
        <v>169</v>
      </c>
      <c r="G17" s="22" t="s">
        <v>30</v>
      </c>
      <c r="H17" s="24"/>
      <c r="I17" s="24" t="s">
        <v>1035</v>
      </c>
      <c r="J17" s="150" t="s">
        <v>1034</v>
      </c>
    </row>
    <row r="18" spans="1:10" s="20" customFormat="1" ht="393.75" x14ac:dyDescent="0.25">
      <c r="A18" s="174"/>
      <c r="B18" s="37" t="s">
        <v>170</v>
      </c>
      <c r="C18" s="47">
        <v>3</v>
      </c>
      <c r="D18" s="46">
        <v>319</v>
      </c>
      <c r="E18" s="21" t="s">
        <v>171</v>
      </c>
      <c r="F18" s="23" t="s">
        <v>172</v>
      </c>
      <c r="G18" s="22" t="s">
        <v>30</v>
      </c>
      <c r="H18" s="24"/>
      <c r="I18" s="24" t="s">
        <v>1036</v>
      </c>
      <c r="J18" s="150" t="s">
        <v>1037</v>
      </c>
    </row>
    <row r="19" spans="1:10" s="20" customFormat="1" ht="346.5" x14ac:dyDescent="0.25">
      <c r="A19" s="174"/>
      <c r="B19" s="37" t="s">
        <v>173</v>
      </c>
      <c r="C19" s="47">
        <v>3</v>
      </c>
      <c r="D19" s="46">
        <v>308</v>
      </c>
      <c r="E19" s="21" t="s">
        <v>174</v>
      </c>
      <c r="F19" s="23" t="s">
        <v>175</v>
      </c>
      <c r="G19" s="22" t="s">
        <v>30</v>
      </c>
      <c r="H19" s="24"/>
      <c r="I19" s="24" t="s">
        <v>1038</v>
      </c>
      <c r="J19" s="150" t="s">
        <v>1039</v>
      </c>
    </row>
    <row r="20" spans="1:10" s="20" customFormat="1" ht="393.75" x14ac:dyDescent="0.25">
      <c r="A20" s="174"/>
      <c r="B20" s="37" t="s">
        <v>176</v>
      </c>
      <c r="C20" s="47">
        <v>3</v>
      </c>
      <c r="D20" s="46">
        <v>308</v>
      </c>
      <c r="E20" s="21" t="s">
        <v>177</v>
      </c>
      <c r="F20" s="23" t="s">
        <v>178</v>
      </c>
      <c r="G20" s="22" t="s">
        <v>30</v>
      </c>
      <c r="H20" s="24"/>
      <c r="I20" s="24" t="s">
        <v>1040</v>
      </c>
      <c r="J20" s="150" t="s">
        <v>1041</v>
      </c>
    </row>
    <row r="21" spans="1:10" s="20" customFormat="1" ht="79.5" customHeight="1" x14ac:dyDescent="0.25">
      <c r="A21" s="174" t="s">
        <v>179</v>
      </c>
      <c r="B21" s="37" t="s">
        <v>180</v>
      </c>
      <c r="C21" s="45">
        <v>1</v>
      </c>
      <c r="D21" s="46">
        <v>330</v>
      </c>
      <c r="E21" s="21" t="s">
        <v>181</v>
      </c>
      <c r="F21" s="23" t="s">
        <v>182</v>
      </c>
      <c r="G21" s="22" t="s">
        <v>30</v>
      </c>
      <c r="H21" s="24"/>
      <c r="I21" s="24" t="s">
        <v>1042</v>
      </c>
      <c r="J21" s="25" t="s">
        <v>1043</v>
      </c>
    </row>
    <row r="22" spans="1:10" s="20" customFormat="1" ht="409.5" x14ac:dyDescent="0.25">
      <c r="A22" s="174"/>
      <c r="B22" s="37" t="s">
        <v>183</v>
      </c>
      <c r="C22" s="48">
        <v>2</v>
      </c>
      <c r="D22" s="46">
        <v>308</v>
      </c>
      <c r="E22" s="21" t="s">
        <v>184</v>
      </c>
      <c r="F22" s="23" t="s">
        <v>185</v>
      </c>
      <c r="G22" s="22" t="s">
        <v>30</v>
      </c>
      <c r="H22" s="24"/>
      <c r="I22" s="24" t="s">
        <v>1044</v>
      </c>
      <c r="J22" s="25" t="s">
        <v>1045</v>
      </c>
    </row>
    <row r="23" spans="1:10" s="20" customFormat="1" ht="362.25" x14ac:dyDescent="0.25">
      <c r="A23" s="174"/>
      <c r="B23" s="37" t="s">
        <v>186</v>
      </c>
      <c r="C23" s="48">
        <v>2</v>
      </c>
      <c r="D23" s="46">
        <v>287</v>
      </c>
      <c r="E23" s="21" t="s">
        <v>187</v>
      </c>
      <c r="F23" s="23" t="s">
        <v>188</v>
      </c>
      <c r="G23" s="22" t="s">
        <v>30</v>
      </c>
      <c r="H23" s="24"/>
      <c r="I23" s="24" t="s">
        <v>1046</v>
      </c>
      <c r="J23" s="25" t="s">
        <v>1047</v>
      </c>
    </row>
    <row r="24" spans="1:10" s="20" customFormat="1" ht="95.25" customHeight="1" x14ac:dyDescent="0.25">
      <c r="A24" s="174" t="s">
        <v>1153</v>
      </c>
      <c r="B24" s="37" t="s">
        <v>189</v>
      </c>
      <c r="C24" s="48">
        <v>2</v>
      </c>
      <c r="D24" s="46">
        <v>916</v>
      </c>
      <c r="E24" s="21" t="s">
        <v>135</v>
      </c>
      <c r="F24" s="23" t="s">
        <v>190</v>
      </c>
      <c r="G24" s="165" t="s">
        <v>30</v>
      </c>
      <c r="H24" s="24" t="s">
        <v>1137</v>
      </c>
      <c r="I24" s="24" t="s">
        <v>1049</v>
      </c>
      <c r="J24" s="25" t="s">
        <v>1050</v>
      </c>
    </row>
    <row r="25" spans="1:10" s="20" customFormat="1" ht="409.5" x14ac:dyDescent="0.25">
      <c r="A25" s="174"/>
      <c r="B25" s="37" t="s">
        <v>191</v>
      </c>
      <c r="C25" s="48">
        <v>2</v>
      </c>
      <c r="D25" s="46">
        <v>916</v>
      </c>
      <c r="E25" s="21" t="s">
        <v>135</v>
      </c>
      <c r="F25" s="23" t="s">
        <v>192</v>
      </c>
      <c r="G25" s="165" t="s">
        <v>30</v>
      </c>
      <c r="H25" s="24" t="s">
        <v>1138</v>
      </c>
      <c r="I25" s="24" t="s">
        <v>1051</v>
      </c>
      <c r="J25" s="25" t="s">
        <v>1052</v>
      </c>
    </row>
    <row r="26" spans="1:10" s="20" customFormat="1" ht="409.5" x14ac:dyDescent="0.25">
      <c r="A26" s="174"/>
      <c r="B26" s="37" t="s">
        <v>193</v>
      </c>
      <c r="C26" s="48">
        <v>2</v>
      </c>
      <c r="D26" s="46">
        <v>916</v>
      </c>
      <c r="E26" s="21" t="s">
        <v>135</v>
      </c>
      <c r="F26" s="23" t="s">
        <v>194</v>
      </c>
      <c r="G26" s="165" t="s">
        <v>30</v>
      </c>
      <c r="H26" s="24" t="s">
        <v>1139</v>
      </c>
      <c r="I26" s="24" t="s">
        <v>1053</v>
      </c>
      <c r="J26" s="25" t="s">
        <v>1054</v>
      </c>
    </row>
    <row r="27" spans="1:10" s="20" customFormat="1" ht="330.75" x14ac:dyDescent="0.25">
      <c r="A27" s="174"/>
      <c r="B27" s="37" t="s">
        <v>195</v>
      </c>
      <c r="C27" s="48">
        <v>2</v>
      </c>
      <c r="D27" s="46">
        <v>916</v>
      </c>
      <c r="E27" s="21" t="s">
        <v>135</v>
      </c>
      <c r="F27" s="23" t="s">
        <v>196</v>
      </c>
      <c r="G27" s="165" t="s">
        <v>60</v>
      </c>
      <c r="H27" s="24" t="s">
        <v>1140</v>
      </c>
      <c r="I27" s="24" t="s">
        <v>1056</v>
      </c>
      <c r="J27" s="25" t="s">
        <v>1057</v>
      </c>
    </row>
    <row r="28" spans="1:10" s="20" customFormat="1" ht="362.25" x14ac:dyDescent="0.25">
      <c r="A28" s="174"/>
      <c r="B28" s="37" t="s">
        <v>197</v>
      </c>
      <c r="C28" s="48">
        <v>2</v>
      </c>
      <c r="D28" s="46">
        <v>916</v>
      </c>
      <c r="E28" s="21" t="s">
        <v>135</v>
      </c>
      <c r="F28" s="23" t="s">
        <v>198</v>
      </c>
      <c r="G28" s="165" t="s">
        <v>30</v>
      </c>
      <c r="H28" s="22"/>
      <c r="I28" s="24" t="s">
        <v>1058</v>
      </c>
      <c r="J28" s="25" t="s">
        <v>1059</v>
      </c>
    </row>
    <row r="29" spans="1:10" s="20" customFormat="1" ht="48" customHeight="1" x14ac:dyDescent="0.25">
      <c r="A29" s="174" t="s">
        <v>1154</v>
      </c>
      <c r="B29" s="37" t="s">
        <v>199</v>
      </c>
      <c r="C29" s="45">
        <v>1</v>
      </c>
      <c r="D29" s="46">
        <v>640</v>
      </c>
      <c r="E29" s="21" t="s">
        <v>135</v>
      </c>
      <c r="F29" s="23" t="s">
        <v>200</v>
      </c>
      <c r="G29" s="22" t="s">
        <v>282</v>
      </c>
      <c r="H29" s="22"/>
      <c r="I29" s="24" t="s">
        <v>1060</v>
      </c>
      <c r="J29" s="25" t="s">
        <v>1061</v>
      </c>
    </row>
    <row r="30" spans="1:10" s="20" customFormat="1" ht="315" x14ac:dyDescent="0.25">
      <c r="A30" s="174"/>
      <c r="B30" s="37" t="s">
        <v>201</v>
      </c>
      <c r="C30" s="45">
        <v>1</v>
      </c>
      <c r="D30" s="46">
        <v>640</v>
      </c>
      <c r="E30" s="21" t="s">
        <v>135</v>
      </c>
      <c r="F30" s="23" t="s">
        <v>202</v>
      </c>
      <c r="G30" s="165" t="s">
        <v>30</v>
      </c>
      <c r="H30" s="22" t="s">
        <v>1142</v>
      </c>
      <c r="I30" s="24" t="s">
        <v>1062</v>
      </c>
      <c r="J30" s="25" t="s">
        <v>1063</v>
      </c>
    </row>
    <row r="31" spans="1:10" s="20" customFormat="1" ht="409.5" x14ac:dyDescent="0.25">
      <c r="A31" s="174"/>
      <c r="B31" s="37" t="s">
        <v>203</v>
      </c>
      <c r="C31" s="45">
        <v>1</v>
      </c>
      <c r="D31" s="46">
        <v>640</v>
      </c>
      <c r="E31" s="21" t="s">
        <v>135</v>
      </c>
      <c r="F31" s="23" t="s">
        <v>204</v>
      </c>
      <c r="G31" s="165" t="s">
        <v>30</v>
      </c>
      <c r="H31" s="24" t="s">
        <v>1143</v>
      </c>
      <c r="I31" s="24" t="s">
        <v>1064</v>
      </c>
      <c r="J31" s="25" t="s">
        <v>1066</v>
      </c>
    </row>
    <row r="32" spans="1:10" s="20" customFormat="1" ht="330.75" x14ac:dyDescent="0.25">
      <c r="A32" s="174"/>
      <c r="B32" s="37" t="s">
        <v>205</v>
      </c>
      <c r="C32" s="45">
        <v>1</v>
      </c>
      <c r="D32" s="46">
        <v>16</v>
      </c>
      <c r="E32" s="21" t="s">
        <v>181</v>
      </c>
      <c r="F32" s="23" t="s">
        <v>206</v>
      </c>
      <c r="G32" s="165" t="s">
        <v>30</v>
      </c>
      <c r="H32" s="22" t="s">
        <v>1144</v>
      </c>
      <c r="I32" s="24" t="s">
        <v>1067</v>
      </c>
      <c r="J32" s="150" t="s">
        <v>1068</v>
      </c>
    </row>
    <row r="33" spans="1:10" s="20" customFormat="1" ht="378" x14ac:dyDescent="0.25">
      <c r="A33" s="174"/>
      <c r="B33" s="37" t="s">
        <v>207</v>
      </c>
      <c r="C33" s="45">
        <v>1</v>
      </c>
      <c r="D33" s="46">
        <v>304</v>
      </c>
      <c r="E33" s="21" t="s">
        <v>208</v>
      </c>
      <c r="F33" s="23" t="s">
        <v>209</v>
      </c>
      <c r="G33" s="165" t="s">
        <v>30</v>
      </c>
      <c r="H33" s="22" t="s">
        <v>1299</v>
      </c>
      <c r="I33" s="24" t="s">
        <v>1070</v>
      </c>
      <c r="J33" s="150" t="s">
        <v>1071</v>
      </c>
    </row>
    <row r="34" spans="1:10" s="20" customFormat="1" ht="315.75" thickBot="1" x14ac:dyDescent="0.3">
      <c r="A34" s="174"/>
      <c r="B34" s="37" t="s">
        <v>210</v>
      </c>
      <c r="C34" s="45">
        <v>1</v>
      </c>
      <c r="D34" s="46">
        <v>640</v>
      </c>
      <c r="E34" s="21" t="s">
        <v>135</v>
      </c>
      <c r="F34" s="23" t="s">
        <v>211</v>
      </c>
      <c r="G34" s="22" t="s">
        <v>282</v>
      </c>
      <c r="H34" s="22"/>
      <c r="I34" s="24" t="s">
        <v>1072</v>
      </c>
      <c r="J34" s="150" t="s">
        <v>1073</v>
      </c>
    </row>
    <row r="35" spans="1:10" s="20" customFormat="1" ht="362.25" customHeight="1" thickBot="1" x14ac:dyDescent="0.3">
      <c r="A35" s="174"/>
      <c r="B35" s="37" t="s">
        <v>212</v>
      </c>
      <c r="C35" s="48">
        <v>2</v>
      </c>
      <c r="D35" s="46">
        <v>308</v>
      </c>
      <c r="E35" s="21" t="s">
        <v>208</v>
      </c>
      <c r="F35" s="23" t="s">
        <v>213</v>
      </c>
      <c r="G35" s="168" t="s">
        <v>282</v>
      </c>
      <c r="H35" s="22" t="s">
        <v>1300</v>
      </c>
      <c r="I35" s="24" t="s">
        <v>1074</v>
      </c>
      <c r="J35" s="150" t="s">
        <v>1075</v>
      </c>
    </row>
    <row r="36" spans="1:10" s="20" customFormat="1" ht="16.5" customHeight="1" thickBot="1" x14ac:dyDescent="0.3">
      <c r="A36" s="174" t="s">
        <v>214</v>
      </c>
      <c r="B36" s="37" t="s">
        <v>215</v>
      </c>
      <c r="C36" s="48">
        <v>2</v>
      </c>
      <c r="D36" s="46">
        <v>308</v>
      </c>
      <c r="E36" s="21" t="s">
        <v>216</v>
      </c>
      <c r="F36" s="23" t="s">
        <v>217</v>
      </c>
      <c r="G36" s="165" t="s">
        <v>30</v>
      </c>
      <c r="H36" s="22" t="s">
        <v>1301</v>
      </c>
      <c r="I36" s="24" t="s">
        <v>1076</v>
      </c>
      <c r="J36" s="150" t="s">
        <v>1077</v>
      </c>
    </row>
    <row r="37" spans="1:10" s="20" customFormat="1" ht="284.25" thickBot="1" x14ac:dyDescent="0.3">
      <c r="A37" s="174"/>
      <c r="B37" s="37" t="s">
        <v>218</v>
      </c>
      <c r="C37" s="48">
        <v>2</v>
      </c>
      <c r="D37" s="46">
        <v>330</v>
      </c>
      <c r="E37" s="21" t="s">
        <v>216</v>
      </c>
      <c r="F37" s="23" t="s">
        <v>219</v>
      </c>
      <c r="G37" s="22" t="s">
        <v>282</v>
      </c>
      <c r="H37" s="22"/>
      <c r="I37" s="24" t="s">
        <v>1076</v>
      </c>
      <c r="J37" s="150" t="s">
        <v>1077</v>
      </c>
    </row>
    <row r="38" spans="1:10" s="20" customFormat="1" ht="347.25" thickBot="1" x14ac:dyDescent="0.3">
      <c r="A38" s="174"/>
      <c r="B38" s="37" t="s">
        <v>220</v>
      </c>
      <c r="C38" s="48">
        <v>2</v>
      </c>
      <c r="D38" s="46">
        <v>310</v>
      </c>
      <c r="E38" s="21" t="s">
        <v>216</v>
      </c>
      <c r="F38" s="23" t="s">
        <v>221</v>
      </c>
      <c r="G38" s="22" t="s">
        <v>282</v>
      </c>
      <c r="H38" s="22"/>
      <c r="I38" s="24" t="s">
        <v>1078</v>
      </c>
      <c r="J38" s="150" t="s">
        <v>1079</v>
      </c>
    </row>
    <row r="39" spans="1:10" s="20" customFormat="1" ht="48" customHeight="1" thickBot="1" x14ac:dyDescent="0.3">
      <c r="A39" s="174" t="s">
        <v>222</v>
      </c>
      <c r="B39" s="37" t="s">
        <v>223</v>
      </c>
      <c r="C39" s="45">
        <v>1</v>
      </c>
      <c r="D39" s="46">
        <v>287</v>
      </c>
      <c r="E39" s="21" t="s">
        <v>224</v>
      </c>
      <c r="F39" s="23" t="s">
        <v>225</v>
      </c>
      <c r="G39" s="22" t="s">
        <v>282</v>
      </c>
      <c r="H39" s="22"/>
      <c r="I39" s="24" t="s">
        <v>1080</v>
      </c>
      <c r="J39" s="25" t="s">
        <v>1081</v>
      </c>
    </row>
    <row r="40" spans="1:10" s="20" customFormat="1" ht="315.75" thickBot="1" x14ac:dyDescent="0.3">
      <c r="A40" s="174"/>
      <c r="B40" s="37" t="s">
        <v>226</v>
      </c>
      <c r="C40" s="45">
        <v>1</v>
      </c>
      <c r="D40" s="46">
        <v>287</v>
      </c>
      <c r="E40" s="21" t="s">
        <v>224</v>
      </c>
      <c r="F40" s="23" t="s">
        <v>227</v>
      </c>
      <c r="G40" s="22" t="s">
        <v>282</v>
      </c>
      <c r="H40" s="22"/>
      <c r="I40" s="24" t="s">
        <v>1082</v>
      </c>
      <c r="J40" s="25" t="s">
        <v>1083</v>
      </c>
    </row>
    <row r="41" spans="1:10" s="20" customFormat="1" ht="331.5" thickBot="1" x14ac:dyDescent="0.3">
      <c r="A41" s="174"/>
      <c r="B41" s="37" t="s">
        <v>228</v>
      </c>
      <c r="C41" s="45">
        <v>1</v>
      </c>
      <c r="D41" s="46">
        <v>287</v>
      </c>
      <c r="E41" s="21" t="s">
        <v>224</v>
      </c>
      <c r="F41" s="23" t="s">
        <v>229</v>
      </c>
      <c r="G41" s="22" t="s">
        <v>282</v>
      </c>
      <c r="H41" s="22"/>
      <c r="I41" s="24" t="s">
        <v>1090</v>
      </c>
      <c r="J41" s="25" t="s">
        <v>1091</v>
      </c>
    </row>
    <row r="42" spans="1:10" s="20" customFormat="1" ht="331.5" thickBot="1" x14ac:dyDescent="0.3">
      <c r="A42" s="174"/>
      <c r="B42" s="37" t="s">
        <v>230</v>
      </c>
      <c r="C42" s="45">
        <v>1</v>
      </c>
      <c r="D42" s="46">
        <v>523</v>
      </c>
      <c r="E42" s="21" t="s">
        <v>224</v>
      </c>
      <c r="F42" s="23" t="s">
        <v>231</v>
      </c>
      <c r="G42" s="22" t="s">
        <v>282</v>
      </c>
      <c r="H42" s="22"/>
      <c r="I42" s="24" t="s">
        <v>1096</v>
      </c>
      <c r="J42" s="25" t="s">
        <v>1097</v>
      </c>
    </row>
    <row r="43" spans="1:10" s="20" customFormat="1" ht="300" thickBot="1" x14ac:dyDescent="0.3">
      <c r="A43" s="174"/>
      <c r="B43" s="37" t="s">
        <v>232</v>
      </c>
      <c r="C43" s="48">
        <v>2</v>
      </c>
      <c r="D43" s="46">
        <v>256</v>
      </c>
      <c r="E43" s="21" t="s">
        <v>224</v>
      </c>
      <c r="F43" s="23" t="s">
        <v>233</v>
      </c>
      <c r="G43" s="22" t="s">
        <v>282</v>
      </c>
      <c r="H43" s="22"/>
      <c r="I43" s="24" t="s">
        <v>1098</v>
      </c>
      <c r="J43" s="25" t="s">
        <v>1099</v>
      </c>
    </row>
    <row r="44" spans="1:10" s="20" customFormat="1" ht="300" thickBot="1" x14ac:dyDescent="0.3">
      <c r="A44" s="174"/>
      <c r="B44" s="37" t="s">
        <v>234</v>
      </c>
      <c r="C44" s="48">
        <v>2</v>
      </c>
      <c r="D44" s="46">
        <v>310</v>
      </c>
      <c r="E44" s="21" t="s">
        <v>224</v>
      </c>
      <c r="F44" s="23" t="s">
        <v>235</v>
      </c>
      <c r="G44" s="22" t="s">
        <v>282</v>
      </c>
      <c r="H44" s="22"/>
      <c r="I44" s="24" t="s">
        <v>1100</v>
      </c>
      <c r="J44" s="25" t="s">
        <v>1101</v>
      </c>
    </row>
    <row r="45" spans="1:10" s="20" customFormat="1" ht="32.25" customHeight="1" thickBot="1" x14ac:dyDescent="0.3">
      <c r="A45" s="174" t="s">
        <v>236</v>
      </c>
      <c r="B45" s="37" t="s">
        <v>237</v>
      </c>
      <c r="C45" s="45">
        <v>1</v>
      </c>
      <c r="D45" s="46">
        <v>613</v>
      </c>
      <c r="E45" s="21" t="s">
        <v>238</v>
      </c>
      <c r="F45" s="23" t="s">
        <v>239</v>
      </c>
      <c r="G45" s="22" t="s">
        <v>282</v>
      </c>
      <c r="H45" s="22"/>
      <c r="I45" s="24" t="s">
        <v>1102</v>
      </c>
      <c r="J45" s="25" t="s">
        <v>1103</v>
      </c>
    </row>
    <row r="46" spans="1:10" s="20" customFormat="1" ht="300" thickBot="1" x14ac:dyDescent="0.3">
      <c r="A46" s="174"/>
      <c r="B46" s="37" t="s">
        <v>240</v>
      </c>
      <c r="C46" s="48">
        <v>2</v>
      </c>
      <c r="D46" s="46">
        <v>320</v>
      </c>
      <c r="E46" s="21" t="s">
        <v>238</v>
      </c>
      <c r="F46" s="23" t="s">
        <v>241</v>
      </c>
      <c r="G46" s="22" t="s">
        <v>282</v>
      </c>
      <c r="H46" s="22"/>
      <c r="I46" s="24" t="s">
        <v>1104</v>
      </c>
      <c r="J46" s="25" t="s">
        <v>1105</v>
      </c>
    </row>
    <row r="47" spans="1:10" s="20" customFormat="1" ht="347.25" thickBot="1" x14ac:dyDescent="0.3">
      <c r="A47" s="174"/>
      <c r="B47" s="37" t="s">
        <v>242</v>
      </c>
      <c r="C47" s="48">
        <v>2</v>
      </c>
      <c r="D47" s="46">
        <v>326</v>
      </c>
      <c r="E47" s="21" t="s">
        <v>238</v>
      </c>
      <c r="F47" s="23" t="s">
        <v>243</v>
      </c>
      <c r="G47" s="22" t="s">
        <v>282</v>
      </c>
      <c r="H47" s="22"/>
      <c r="I47" s="24" t="s">
        <v>1106</v>
      </c>
      <c r="J47" s="25" t="s">
        <v>1107</v>
      </c>
    </row>
    <row r="48" spans="1:10" s="20" customFormat="1" ht="284.25" thickBot="1" x14ac:dyDescent="0.3">
      <c r="A48" s="174"/>
      <c r="B48" s="37" t="s">
        <v>244</v>
      </c>
      <c r="C48" s="48">
        <v>2</v>
      </c>
      <c r="D48" s="46">
        <v>287</v>
      </c>
      <c r="E48" s="21" t="s">
        <v>238</v>
      </c>
      <c r="F48" s="23" t="s">
        <v>245</v>
      </c>
      <c r="G48" s="22" t="s">
        <v>282</v>
      </c>
      <c r="H48" s="22"/>
      <c r="I48" s="24" t="s">
        <v>1108</v>
      </c>
      <c r="J48" s="25" t="s">
        <v>1109</v>
      </c>
    </row>
    <row r="49" spans="1:10" s="20" customFormat="1" ht="315.75" thickBot="1" x14ac:dyDescent="0.3">
      <c r="A49" s="174"/>
      <c r="B49" s="37" t="s">
        <v>246</v>
      </c>
      <c r="C49" s="48">
        <v>2</v>
      </c>
      <c r="D49" s="46">
        <v>287</v>
      </c>
      <c r="E49" s="21" t="s">
        <v>247</v>
      </c>
      <c r="F49" s="23" t="s">
        <v>248</v>
      </c>
      <c r="G49" s="22" t="s">
        <v>282</v>
      </c>
      <c r="H49" s="22"/>
      <c r="I49" s="24" t="s">
        <v>1110</v>
      </c>
      <c r="J49" s="25" t="s">
        <v>1112</v>
      </c>
    </row>
    <row r="50" spans="1:10" s="20" customFormat="1" ht="284.25" thickBot="1" x14ac:dyDescent="0.3">
      <c r="A50" s="174"/>
      <c r="B50" s="37" t="s">
        <v>249</v>
      </c>
      <c r="C50" s="48">
        <v>2</v>
      </c>
      <c r="D50" s="46">
        <v>613</v>
      </c>
      <c r="E50" s="21" t="s">
        <v>250</v>
      </c>
      <c r="F50" s="23" t="s">
        <v>251</v>
      </c>
      <c r="G50" s="22" t="s">
        <v>282</v>
      </c>
      <c r="H50" s="22"/>
      <c r="I50" s="24" t="s">
        <v>1113</v>
      </c>
      <c r="J50" s="25" t="s">
        <v>1114</v>
      </c>
    </row>
    <row r="51" spans="1:10" s="20" customFormat="1" ht="331.5" thickBot="1" x14ac:dyDescent="0.3">
      <c r="A51" s="174"/>
      <c r="B51" s="37" t="s">
        <v>252</v>
      </c>
      <c r="C51" s="47">
        <v>3</v>
      </c>
      <c r="D51" s="46">
        <v>308</v>
      </c>
      <c r="E51" s="21" t="s">
        <v>253</v>
      </c>
      <c r="F51" s="23" t="s">
        <v>254</v>
      </c>
      <c r="G51" s="22" t="s">
        <v>282</v>
      </c>
      <c r="H51" s="22"/>
      <c r="I51" s="24" t="s">
        <v>1117</v>
      </c>
      <c r="J51" s="25" t="s">
        <v>1118</v>
      </c>
    </row>
    <row r="52" spans="1:10" s="20" customFormat="1" ht="63.75" customHeight="1" thickBot="1" x14ac:dyDescent="0.3">
      <c r="A52" s="174" t="s">
        <v>255</v>
      </c>
      <c r="B52" s="37" t="s">
        <v>256</v>
      </c>
      <c r="C52" s="48">
        <v>2</v>
      </c>
      <c r="D52" s="46">
        <v>320</v>
      </c>
      <c r="E52" s="21" t="s">
        <v>257</v>
      </c>
      <c r="F52" s="23" t="s">
        <v>258</v>
      </c>
      <c r="G52" s="22" t="s">
        <v>282</v>
      </c>
      <c r="H52" s="22"/>
      <c r="I52" s="24" t="s">
        <v>1119</v>
      </c>
      <c r="J52" s="25" t="s">
        <v>1121</v>
      </c>
    </row>
    <row r="53" spans="1:10" s="20" customFormat="1" ht="300" thickBot="1" x14ac:dyDescent="0.3">
      <c r="A53" s="174"/>
      <c r="B53" s="37" t="s">
        <v>259</v>
      </c>
      <c r="C53" s="48">
        <v>2</v>
      </c>
      <c r="D53" s="46">
        <v>330</v>
      </c>
      <c r="E53" s="21" t="s">
        <v>257</v>
      </c>
      <c r="F53" s="23" t="s">
        <v>260</v>
      </c>
      <c r="G53" s="22" t="s">
        <v>282</v>
      </c>
      <c r="H53" s="22"/>
      <c r="I53" s="24" t="s">
        <v>1122</v>
      </c>
      <c r="J53" s="25" t="s">
        <v>1123</v>
      </c>
    </row>
    <row r="54" spans="1:10" s="20" customFormat="1" ht="363" thickBot="1" x14ac:dyDescent="0.3">
      <c r="A54" s="174"/>
      <c r="B54" s="37" t="s">
        <v>261</v>
      </c>
      <c r="C54" s="48">
        <v>2</v>
      </c>
      <c r="D54" s="46">
        <v>327</v>
      </c>
      <c r="E54" s="21" t="s">
        <v>257</v>
      </c>
      <c r="F54" s="23" t="s">
        <v>262</v>
      </c>
      <c r="G54" s="22" t="s">
        <v>282</v>
      </c>
      <c r="H54" s="22"/>
      <c r="I54" s="24" t="s">
        <v>1125</v>
      </c>
      <c r="J54" s="25" t="s">
        <v>1126</v>
      </c>
    </row>
    <row r="55" spans="1:10" s="20" customFormat="1" ht="79.5" customHeight="1" thickBot="1" x14ac:dyDescent="0.3">
      <c r="A55" s="174" t="s">
        <v>263</v>
      </c>
      <c r="B55" s="37" t="s">
        <v>264</v>
      </c>
      <c r="C55" s="48" t="s">
        <v>265</v>
      </c>
      <c r="D55" s="46">
        <v>287</v>
      </c>
      <c r="E55" s="21" t="s">
        <v>266</v>
      </c>
      <c r="F55" s="23" t="s">
        <v>267</v>
      </c>
      <c r="G55" s="22" t="s">
        <v>282</v>
      </c>
      <c r="H55" s="22"/>
      <c r="I55" s="24" t="s">
        <v>1127</v>
      </c>
      <c r="J55" s="25" t="s">
        <v>1128</v>
      </c>
    </row>
    <row r="56" spans="1:10" s="20" customFormat="1" ht="299.25" x14ac:dyDescent="0.25">
      <c r="A56" s="174"/>
      <c r="B56" s="37" t="s">
        <v>268</v>
      </c>
      <c r="C56" s="48" t="s">
        <v>265</v>
      </c>
      <c r="D56" s="46">
        <v>255</v>
      </c>
      <c r="E56" s="21" t="s">
        <v>266</v>
      </c>
      <c r="F56" s="23" t="s">
        <v>269</v>
      </c>
      <c r="G56" s="22" t="s">
        <v>282</v>
      </c>
      <c r="H56" s="22"/>
      <c r="I56" s="24" t="s">
        <v>1129</v>
      </c>
      <c r="J56" s="25" t="s">
        <v>1130</v>
      </c>
    </row>
    <row r="57" spans="1:10" s="20" customFormat="1" ht="315" x14ac:dyDescent="0.25">
      <c r="A57" s="174"/>
      <c r="B57" s="37" t="s">
        <v>270</v>
      </c>
      <c r="C57" s="48" t="s">
        <v>265</v>
      </c>
      <c r="D57" s="46">
        <v>522</v>
      </c>
      <c r="E57" s="21" t="s">
        <v>266</v>
      </c>
      <c r="F57" s="23" t="s">
        <v>271</v>
      </c>
      <c r="G57" s="22" t="s">
        <v>282</v>
      </c>
      <c r="H57" s="22"/>
      <c r="I57" s="24" t="s">
        <v>1131</v>
      </c>
      <c r="J57" s="25" t="s">
        <v>1132</v>
      </c>
    </row>
    <row r="58" spans="1:10" s="20" customFormat="1" ht="346.5" x14ac:dyDescent="0.25">
      <c r="A58" s="174"/>
      <c r="B58" s="37" t="s">
        <v>272</v>
      </c>
      <c r="C58" s="49" t="s">
        <v>265</v>
      </c>
      <c r="D58" s="50">
        <v>798</v>
      </c>
      <c r="E58" s="27"/>
      <c r="F58" s="29" t="s">
        <v>273</v>
      </c>
      <c r="G58" s="28" t="s">
        <v>282</v>
      </c>
      <c r="H58" s="28"/>
      <c r="I58" s="79" t="s">
        <v>1133</v>
      </c>
      <c r="J58" s="80" t="s">
        <v>1134</v>
      </c>
    </row>
  </sheetData>
  <mergeCells count="10">
    <mergeCell ref="A36:A38"/>
    <mergeCell ref="A39:A44"/>
    <mergeCell ref="A45:A51"/>
    <mergeCell ref="A52:A54"/>
    <mergeCell ref="A55:A58"/>
    <mergeCell ref="A2:A13"/>
    <mergeCell ref="A14:A20"/>
    <mergeCell ref="A21:A23"/>
    <mergeCell ref="A24:A28"/>
    <mergeCell ref="A29:A35"/>
  </mergeCells>
  <dataValidations count="1">
    <dataValidation type="list" operator="equal" showErrorMessage="1" sqref="G2:G58" xr:uid="{00000000-0002-0000-02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r:id="rId1"/>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4"/>
  <sheetViews>
    <sheetView topLeftCell="D15" zoomScale="47" zoomScaleNormal="85" workbookViewId="0">
      <selection activeCell="F19" sqref="F19"/>
    </sheetView>
  </sheetViews>
  <sheetFormatPr defaultColWidth="8.85546875" defaultRowHeight="21" x14ac:dyDescent="0.25"/>
  <cols>
    <col min="1" max="1" width="40.85546875" style="51" customWidth="1"/>
    <col min="2" max="2" width="10.85546875" style="20" customWidth="1"/>
    <col min="3" max="3" width="11.85546875" style="52" customWidth="1"/>
    <col min="4" max="5" width="8.85546875" style="52"/>
    <col min="6" max="6" width="70" style="20" customWidth="1"/>
    <col min="7" max="7" width="20.5703125" style="20" customWidth="1"/>
    <col min="8" max="8" width="36.140625" style="20" customWidth="1"/>
    <col min="9" max="9" width="35.7109375" style="20" customWidth="1"/>
    <col min="10" max="10" width="42.85546875" style="20" customWidth="1"/>
    <col min="11" max="1024" width="8.85546875" style="20"/>
  </cols>
  <sheetData>
    <row r="1" spans="1:10" s="36" customFormat="1" ht="42" x14ac:dyDescent="0.2">
      <c r="A1" s="53" t="s">
        <v>24</v>
      </c>
      <c r="B1" s="54" t="s">
        <v>25</v>
      </c>
      <c r="C1" s="53" t="s">
        <v>26</v>
      </c>
      <c r="D1" s="53" t="s">
        <v>27</v>
      </c>
      <c r="E1" s="53" t="s">
        <v>28</v>
      </c>
      <c r="F1" s="54" t="s">
        <v>29</v>
      </c>
      <c r="G1" s="54" t="s">
        <v>30</v>
      </c>
      <c r="H1" s="54" t="s">
        <v>31</v>
      </c>
      <c r="I1" s="54" t="s">
        <v>32</v>
      </c>
      <c r="J1" s="54" t="s">
        <v>33</v>
      </c>
    </row>
    <row r="2" spans="1:10" ht="94.5" x14ac:dyDescent="0.25">
      <c r="A2" s="1" t="s">
        <v>274</v>
      </c>
      <c r="B2" s="55" t="s">
        <v>275</v>
      </c>
      <c r="C2" s="56">
        <v>1</v>
      </c>
      <c r="D2" s="39">
        <v>598</v>
      </c>
      <c r="E2" s="57"/>
      <c r="F2" s="41" t="s">
        <v>276</v>
      </c>
      <c r="G2" s="42" t="s">
        <v>30</v>
      </c>
      <c r="H2" s="43" t="s">
        <v>1259</v>
      </c>
      <c r="I2" s="43" t="s">
        <v>1252</v>
      </c>
      <c r="J2" s="44" t="s">
        <v>1253</v>
      </c>
    </row>
    <row r="3" spans="1:10" ht="63.75" customHeight="1" x14ac:dyDescent="0.25">
      <c r="A3" s="174" t="s">
        <v>277</v>
      </c>
      <c r="B3" s="55" t="s">
        <v>278</v>
      </c>
      <c r="C3" s="58">
        <v>1</v>
      </c>
      <c r="D3" s="46">
        <v>384</v>
      </c>
      <c r="E3" s="59">
        <v>7.1</v>
      </c>
      <c r="F3" s="23" t="s">
        <v>279</v>
      </c>
      <c r="G3" s="22" t="s">
        <v>30</v>
      </c>
      <c r="H3" s="24" t="s">
        <v>1254</v>
      </c>
      <c r="I3" s="24" t="s">
        <v>1255</v>
      </c>
      <c r="J3" s="25" t="s">
        <v>1135</v>
      </c>
    </row>
    <row r="4" spans="1:10" ht="78.75" x14ac:dyDescent="0.25">
      <c r="A4" s="174"/>
      <c r="B4" s="55" t="s">
        <v>280</v>
      </c>
      <c r="C4" s="58">
        <v>1</v>
      </c>
      <c r="D4" s="46">
        <v>331</v>
      </c>
      <c r="E4" s="59">
        <v>7.1</v>
      </c>
      <c r="F4" s="23" t="s">
        <v>281</v>
      </c>
      <c r="G4" s="22" t="s">
        <v>30</v>
      </c>
      <c r="H4" s="24" t="s">
        <v>1256</v>
      </c>
      <c r="I4" s="24" t="s">
        <v>1257</v>
      </c>
      <c r="J4" s="25" t="s">
        <v>1135</v>
      </c>
    </row>
    <row r="5" spans="1:10" ht="94.5" x14ac:dyDescent="0.25">
      <c r="A5" s="174"/>
      <c r="B5" s="55" t="s">
        <v>283</v>
      </c>
      <c r="C5" s="58">
        <v>1</v>
      </c>
      <c r="D5" s="46">
        <v>539</v>
      </c>
      <c r="E5" s="59">
        <v>7.1</v>
      </c>
      <c r="F5" s="23" t="s">
        <v>284</v>
      </c>
      <c r="G5" s="22" t="s">
        <v>30</v>
      </c>
      <c r="H5" s="24" t="s">
        <v>1258</v>
      </c>
      <c r="I5" s="24" t="s">
        <v>1260</v>
      </c>
      <c r="J5" s="25" t="s">
        <v>1069</v>
      </c>
    </row>
    <row r="6" spans="1:10" ht="94.5" x14ac:dyDescent="0.25">
      <c r="A6" s="174"/>
      <c r="B6" s="55" t="s">
        <v>285</v>
      </c>
      <c r="C6" s="60">
        <v>2</v>
      </c>
      <c r="D6" s="46">
        <v>331</v>
      </c>
      <c r="E6" s="59">
        <v>7.1</v>
      </c>
      <c r="F6" s="23" t="s">
        <v>286</v>
      </c>
      <c r="G6" s="22" t="s">
        <v>30</v>
      </c>
      <c r="H6" s="24" t="s">
        <v>1261</v>
      </c>
      <c r="I6" s="24" t="s">
        <v>1262</v>
      </c>
      <c r="J6" s="25" t="s">
        <v>1263</v>
      </c>
    </row>
    <row r="7" spans="1:10" ht="79.5" customHeight="1" x14ac:dyDescent="0.25">
      <c r="A7" s="174" t="s">
        <v>287</v>
      </c>
      <c r="B7" s="55" t="s">
        <v>288</v>
      </c>
      <c r="C7" s="58">
        <v>1</v>
      </c>
      <c r="D7" s="46">
        <v>613</v>
      </c>
      <c r="E7" s="59">
        <v>7.1</v>
      </c>
      <c r="F7" s="23" t="s">
        <v>289</v>
      </c>
      <c r="G7" s="165" t="s">
        <v>30</v>
      </c>
      <c r="H7" s="24" t="s">
        <v>1264</v>
      </c>
      <c r="I7" s="24" t="s">
        <v>1265</v>
      </c>
      <c r="J7" s="25" t="s">
        <v>1135</v>
      </c>
    </row>
    <row r="8" spans="1:10" ht="110.25" x14ac:dyDescent="0.25">
      <c r="A8" s="174"/>
      <c r="B8" s="55" t="s">
        <v>290</v>
      </c>
      <c r="C8" s="58">
        <v>1</v>
      </c>
      <c r="D8" s="46">
        <v>613</v>
      </c>
      <c r="E8" s="59">
        <v>7.2</v>
      </c>
      <c r="F8" s="23" t="s">
        <v>291</v>
      </c>
      <c r="G8" s="22" t="s">
        <v>30</v>
      </c>
      <c r="H8" s="24" t="s">
        <v>1266</v>
      </c>
      <c r="I8" s="24" t="s">
        <v>1267</v>
      </c>
      <c r="J8" s="25" t="s">
        <v>1135</v>
      </c>
    </row>
    <row r="9" spans="1:10" ht="126" x14ac:dyDescent="0.25">
      <c r="A9" s="174"/>
      <c r="B9" s="55" t="s">
        <v>292</v>
      </c>
      <c r="C9" s="60">
        <v>2</v>
      </c>
      <c r="D9" s="46">
        <v>613</v>
      </c>
      <c r="E9" s="59"/>
      <c r="F9" s="23" t="s">
        <v>293</v>
      </c>
      <c r="G9" s="22" t="s">
        <v>282</v>
      </c>
      <c r="H9" s="24" t="s">
        <v>294</v>
      </c>
      <c r="I9" s="24" t="s">
        <v>295</v>
      </c>
      <c r="J9" s="25" t="s">
        <v>296</v>
      </c>
    </row>
    <row r="10" spans="1:10" ht="157.5" x14ac:dyDescent="0.25">
      <c r="A10" s="174"/>
      <c r="B10" s="55" t="s">
        <v>297</v>
      </c>
      <c r="C10" s="60">
        <v>2</v>
      </c>
      <c r="D10" s="46">
        <v>613</v>
      </c>
      <c r="E10" s="59">
        <v>7.1</v>
      </c>
      <c r="F10" s="23" t="s">
        <v>298</v>
      </c>
      <c r="G10" s="22" t="s">
        <v>282</v>
      </c>
      <c r="H10" s="24" t="s">
        <v>299</v>
      </c>
      <c r="I10" s="24" t="s">
        <v>300</v>
      </c>
      <c r="J10" s="25" t="s">
        <v>301</v>
      </c>
    </row>
    <row r="11" spans="1:10" ht="48" customHeight="1" x14ac:dyDescent="0.25">
      <c r="A11" s="174" t="s">
        <v>302</v>
      </c>
      <c r="B11" s="55" t="s">
        <v>303</v>
      </c>
      <c r="C11" s="58">
        <v>1</v>
      </c>
      <c r="D11" s="46">
        <v>614</v>
      </c>
      <c r="E11" s="59" t="s">
        <v>304</v>
      </c>
      <c r="F11" s="23" t="s">
        <v>305</v>
      </c>
      <c r="G11" s="22" t="s">
        <v>30</v>
      </c>
      <c r="H11" s="24" t="s">
        <v>1269</v>
      </c>
      <c r="I11" s="24" t="s">
        <v>1268</v>
      </c>
      <c r="J11" s="25" t="s">
        <v>1135</v>
      </c>
    </row>
    <row r="12" spans="1:10" ht="47.25" x14ac:dyDescent="0.25">
      <c r="A12" s="174"/>
      <c r="B12" s="55" t="s">
        <v>306</v>
      </c>
      <c r="C12" s="58">
        <v>1</v>
      </c>
      <c r="D12" s="46">
        <v>1004</v>
      </c>
      <c r="E12" s="59" t="s">
        <v>304</v>
      </c>
      <c r="F12" s="23" t="s">
        <v>307</v>
      </c>
      <c r="G12" s="22" t="s">
        <v>30</v>
      </c>
      <c r="H12" s="78" t="s">
        <v>1270</v>
      </c>
      <c r="I12" s="24" t="s">
        <v>1271</v>
      </c>
      <c r="J12" s="25" t="s">
        <v>1135</v>
      </c>
    </row>
    <row r="13" spans="1:10" ht="63" x14ac:dyDescent="0.25">
      <c r="A13" s="174"/>
      <c r="B13" s="55" t="s">
        <v>308</v>
      </c>
      <c r="C13" s="58">
        <v>1</v>
      </c>
      <c r="D13" s="46">
        <v>16</v>
      </c>
      <c r="E13" s="59" t="s">
        <v>304</v>
      </c>
      <c r="F13" s="23" t="s">
        <v>309</v>
      </c>
      <c r="G13" s="22" t="s">
        <v>30</v>
      </c>
      <c r="H13" s="24" t="s">
        <v>1272</v>
      </c>
      <c r="I13" s="24" t="s">
        <v>1273</v>
      </c>
      <c r="J13" s="25" t="s">
        <v>1135</v>
      </c>
    </row>
    <row r="14" spans="1:10" ht="252" x14ac:dyDescent="0.25">
      <c r="A14" s="174"/>
      <c r="B14" s="55" t="s">
        <v>311</v>
      </c>
      <c r="C14" s="58">
        <v>1</v>
      </c>
      <c r="D14" s="46">
        <v>16</v>
      </c>
      <c r="E14" s="59" t="s">
        <v>304</v>
      </c>
      <c r="F14" s="23" t="s">
        <v>312</v>
      </c>
      <c r="G14" s="22" t="s">
        <v>282</v>
      </c>
      <c r="H14" s="24" t="s">
        <v>313</v>
      </c>
      <c r="I14" s="24" t="s">
        <v>314</v>
      </c>
      <c r="J14" s="25" t="s">
        <v>315</v>
      </c>
    </row>
    <row r="15" spans="1:10" ht="173.25" x14ac:dyDescent="0.25">
      <c r="A15" s="174"/>
      <c r="B15" s="55" t="s">
        <v>316</v>
      </c>
      <c r="C15" s="58">
        <v>1</v>
      </c>
      <c r="D15" s="46">
        <v>16</v>
      </c>
      <c r="E15" s="59" t="s">
        <v>304</v>
      </c>
      <c r="F15" s="23" t="s">
        <v>317</v>
      </c>
      <c r="G15" s="22" t="s">
        <v>282</v>
      </c>
      <c r="H15" s="24" t="s">
        <v>310</v>
      </c>
      <c r="I15" s="24" t="s">
        <v>318</v>
      </c>
      <c r="J15" s="25" t="s">
        <v>319</v>
      </c>
    </row>
    <row r="16" spans="1:10" ht="32.25" customHeight="1" x14ac:dyDescent="0.25">
      <c r="A16" s="174" t="s">
        <v>320</v>
      </c>
      <c r="B16" s="55" t="s">
        <v>321</v>
      </c>
      <c r="C16" s="60">
        <v>2</v>
      </c>
      <c r="D16" s="46">
        <v>290</v>
      </c>
      <c r="E16" s="59" t="s">
        <v>322</v>
      </c>
      <c r="F16" s="23" t="s">
        <v>323</v>
      </c>
      <c r="G16" s="22" t="s">
        <v>282</v>
      </c>
      <c r="H16" s="24" t="s">
        <v>324</v>
      </c>
      <c r="I16" s="24" t="s">
        <v>325</v>
      </c>
      <c r="J16" s="25" t="s">
        <v>326</v>
      </c>
    </row>
    <row r="17" spans="1:10" ht="110.25" x14ac:dyDescent="0.25">
      <c r="A17" s="174"/>
      <c r="B17" s="55" t="s">
        <v>327</v>
      </c>
      <c r="C17" s="60">
        <v>2</v>
      </c>
      <c r="D17" s="46">
        <v>798</v>
      </c>
      <c r="E17" s="59"/>
      <c r="F17" s="23" t="s">
        <v>328</v>
      </c>
      <c r="G17" s="22" t="s">
        <v>30</v>
      </c>
      <c r="H17" s="24" t="s">
        <v>1277</v>
      </c>
      <c r="I17" s="24" t="s">
        <v>1278</v>
      </c>
      <c r="J17" s="25" t="s">
        <v>1135</v>
      </c>
    </row>
    <row r="18" spans="1:10" ht="157.5" x14ac:dyDescent="0.25">
      <c r="A18" s="174"/>
      <c r="B18" s="55" t="s">
        <v>329</v>
      </c>
      <c r="C18" s="60">
        <v>2</v>
      </c>
      <c r="D18" s="46">
        <v>345</v>
      </c>
      <c r="E18" s="59"/>
      <c r="F18" s="23" t="s">
        <v>330</v>
      </c>
      <c r="G18" s="22" t="s">
        <v>30</v>
      </c>
      <c r="H18" s="24" t="s">
        <v>1274</v>
      </c>
      <c r="I18" s="24" t="s">
        <v>1275</v>
      </c>
      <c r="J18" s="25" t="s">
        <v>1276</v>
      </c>
    </row>
    <row r="19" spans="1:10" ht="63.75" customHeight="1" x14ac:dyDescent="0.25">
      <c r="A19" s="174" t="s">
        <v>331</v>
      </c>
      <c r="B19" s="55" t="s">
        <v>332</v>
      </c>
      <c r="C19" s="61">
        <v>3</v>
      </c>
      <c r="D19" s="46">
        <v>613</v>
      </c>
      <c r="E19" s="59" t="s">
        <v>333</v>
      </c>
      <c r="F19" s="23" t="s">
        <v>334</v>
      </c>
      <c r="G19" s="20" t="s">
        <v>282</v>
      </c>
      <c r="H19" s="24" t="s">
        <v>335</v>
      </c>
      <c r="I19" s="24" t="s">
        <v>336</v>
      </c>
      <c r="J19" s="25" t="s">
        <v>337</v>
      </c>
    </row>
    <row r="20" spans="1:10" ht="141.75" x14ac:dyDescent="0.25">
      <c r="A20" s="174"/>
      <c r="B20" s="55" t="s">
        <v>338</v>
      </c>
      <c r="C20" s="61">
        <v>3</v>
      </c>
      <c r="D20" s="46">
        <v>613</v>
      </c>
      <c r="E20" s="59" t="s">
        <v>333</v>
      </c>
      <c r="F20" s="23" t="s">
        <v>339</v>
      </c>
      <c r="G20" s="22" t="s">
        <v>282</v>
      </c>
      <c r="H20" s="22" t="s">
        <v>282</v>
      </c>
      <c r="I20" s="24" t="s">
        <v>340</v>
      </c>
      <c r="J20" s="25" t="s">
        <v>341</v>
      </c>
    </row>
    <row r="21" spans="1:10" ht="157.5" x14ac:dyDescent="0.25">
      <c r="A21" s="1" t="s">
        <v>342</v>
      </c>
      <c r="B21" s="55" t="s">
        <v>343</v>
      </c>
      <c r="C21" s="62">
        <v>1</v>
      </c>
      <c r="D21" s="50">
        <v>778</v>
      </c>
      <c r="E21" s="63"/>
      <c r="F21" s="29" t="s">
        <v>344</v>
      </c>
      <c r="G21" s="171" t="s">
        <v>30</v>
      </c>
      <c r="H21" s="79" t="s">
        <v>1280</v>
      </c>
      <c r="I21" s="79" t="s">
        <v>1279</v>
      </c>
      <c r="J21" s="80" t="s">
        <v>1135</v>
      </c>
    </row>
    <row r="22" spans="1:10" s="20" customFormat="1" x14ac:dyDescent="0.25">
      <c r="A22" s="51"/>
    </row>
    <row r="23" spans="1:10" s="20" customFormat="1" x14ac:dyDescent="0.25">
      <c r="A23" s="51"/>
    </row>
    <row r="24" spans="1:10" s="20" customFormat="1" x14ac:dyDescent="0.25">
      <c r="A24" s="51"/>
    </row>
  </sheetData>
  <mergeCells count="5">
    <mergeCell ref="A3:A6"/>
    <mergeCell ref="A7:A10"/>
    <mergeCell ref="A11:A15"/>
    <mergeCell ref="A16:A18"/>
    <mergeCell ref="A19:A20"/>
  </mergeCells>
  <dataValidations count="1">
    <dataValidation type="list" operator="equal" showErrorMessage="1" sqref="G2:G18 G20:G21 H20"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1"/>
  <sheetViews>
    <sheetView zoomScale="61" zoomScaleNormal="95" workbookViewId="0">
      <selection activeCell="F11" sqref="F11"/>
    </sheetView>
  </sheetViews>
  <sheetFormatPr defaultColWidth="8.85546875" defaultRowHeight="21" x14ac:dyDescent="0.35"/>
  <cols>
    <col min="1" max="1" width="38.42578125" style="64" customWidth="1"/>
    <col min="2" max="2" width="12.28515625" style="65" customWidth="1"/>
    <col min="3" max="3" width="12.42578125" style="52" customWidth="1"/>
    <col min="4" max="5" width="8.85546875" style="52"/>
    <col min="6" max="6" width="68.7109375" style="20" customWidth="1"/>
    <col min="7" max="7" width="18.140625" style="20" customWidth="1"/>
    <col min="8" max="8" width="32.7109375" style="20" customWidth="1"/>
    <col min="9" max="9" width="27.28515625" style="20" customWidth="1"/>
    <col min="10" max="10" width="42.140625" style="20" customWidth="1"/>
    <col min="11" max="1024" width="8.85546875" style="20"/>
  </cols>
  <sheetData>
    <row r="1" spans="1:10" s="68" customFormat="1" ht="37.5" x14ac:dyDescent="0.2">
      <c r="A1" s="33" t="s">
        <v>24</v>
      </c>
      <c r="B1" s="66" t="s">
        <v>25</v>
      </c>
      <c r="C1" s="67" t="s">
        <v>26</v>
      </c>
      <c r="D1" s="67" t="s">
        <v>27</v>
      </c>
      <c r="E1" s="67" t="s">
        <v>28</v>
      </c>
      <c r="F1" s="66" t="s">
        <v>29</v>
      </c>
      <c r="G1" s="66" t="s">
        <v>30</v>
      </c>
      <c r="H1" s="66" t="s">
        <v>31</v>
      </c>
      <c r="I1" s="66" t="s">
        <v>32</v>
      </c>
      <c r="J1" s="66" t="s">
        <v>33</v>
      </c>
    </row>
    <row r="2" spans="1:10" ht="409.5" x14ac:dyDescent="0.25">
      <c r="A2" s="174" t="s">
        <v>345</v>
      </c>
      <c r="B2" s="69" t="s">
        <v>346</v>
      </c>
      <c r="C2" s="56">
        <v>1</v>
      </c>
      <c r="D2" s="39">
        <v>602</v>
      </c>
      <c r="E2" s="42"/>
      <c r="F2" s="41" t="s">
        <v>347</v>
      </c>
      <c r="G2" s="42" t="s">
        <v>30</v>
      </c>
      <c r="H2" s="43" t="s">
        <v>1155</v>
      </c>
      <c r="I2" s="43" t="s">
        <v>1156</v>
      </c>
      <c r="J2" s="44" t="s">
        <v>1135</v>
      </c>
    </row>
    <row r="3" spans="1:10" ht="267.75" x14ac:dyDescent="0.25">
      <c r="A3" s="174"/>
      <c r="B3" s="69" t="s">
        <v>348</v>
      </c>
      <c r="C3" s="58">
        <v>1</v>
      </c>
      <c r="D3" s="46">
        <v>639</v>
      </c>
      <c r="E3" s="22"/>
      <c r="F3" s="23" t="s">
        <v>349</v>
      </c>
      <c r="G3" s="22" t="s">
        <v>30</v>
      </c>
      <c r="H3" s="24" t="s">
        <v>1162</v>
      </c>
      <c r="I3" s="24" t="s">
        <v>1161</v>
      </c>
      <c r="J3" s="25" t="s">
        <v>1163</v>
      </c>
    </row>
    <row r="4" spans="1:10" ht="409.5" x14ac:dyDescent="0.25">
      <c r="A4" s="174"/>
      <c r="B4" s="69" t="s">
        <v>350</v>
      </c>
      <c r="C4" s="58">
        <v>1</v>
      </c>
      <c r="D4" s="46">
        <v>285</v>
      </c>
      <c r="E4" s="22"/>
      <c r="F4" s="23" t="s">
        <v>351</v>
      </c>
      <c r="G4" s="22" t="s">
        <v>30</v>
      </c>
      <c r="H4" s="24" t="s">
        <v>1165</v>
      </c>
      <c r="I4" s="24" t="s">
        <v>1164</v>
      </c>
      <c r="J4" s="25" t="s">
        <v>1135</v>
      </c>
    </row>
    <row r="5" spans="1:10" ht="15.75" x14ac:dyDescent="0.25">
      <c r="A5" s="174"/>
      <c r="B5" s="69" t="s">
        <v>352</v>
      </c>
      <c r="C5" s="58">
        <v>1</v>
      </c>
      <c r="D5" s="46">
        <v>276</v>
      </c>
      <c r="E5" s="22"/>
      <c r="F5" s="23" t="s">
        <v>67</v>
      </c>
      <c r="G5" s="22" t="s">
        <v>60</v>
      </c>
      <c r="H5" s="22"/>
      <c r="I5" s="22"/>
      <c r="J5" s="26"/>
    </row>
    <row r="6" spans="1:10" ht="283.5" x14ac:dyDescent="0.25">
      <c r="A6" s="174"/>
      <c r="B6" s="69" t="s">
        <v>353</v>
      </c>
      <c r="C6" s="58">
        <v>1</v>
      </c>
      <c r="D6" s="46">
        <v>285</v>
      </c>
      <c r="E6" s="22"/>
      <c r="F6" s="23" t="s">
        <v>354</v>
      </c>
      <c r="G6" s="22" t="s">
        <v>30</v>
      </c>
      <c r="H6" s="24" t="s">
        <v>1170</v>
      </c>
      <c r="I6" s="24" t="s">
        <v>1167</v>
      </c>
      <c r="J6" s="25" t="s">
        <v>1065</v>
      </c>
    </row>
    <row r="7" spans="1:10" ht="79.5" customHeight="1" x14ac:dyDescent="0.25">
      <c r="A7" s="174" t="s">
        <v>355</v>
      </c>
      <c r="B7" s="69" t="s">
        <v>356</v>
      </c>
      <c r="C7" s="58">
        <v>1</v>
      </c>
      <c r="D7" s="46">
        <v>639</v>
      </c>
      <c r="E7" s="22"/>
      <c r="F7" s="23" t="s">
        <v>357</v>
      </c>
      <c r="G7" s="22" t="s">
        <v>30</v>
      </c>
      <c r="H7" s="24" t="s">
        <v>1175</v>
      </c>
      <c r="I7" s="24" t="s">
        <v>1172</v>
      </c>
      <c r="J7" s="25" t="s">
        <v>1174</v>
      </c>
    </row>
    <row r="8" spans="1:10" ht="409.5" x14ac:dyDescent="0.25">
      <c r="A8" s="174"/>
      <c r="B8" s="69" t="s">
        <v>358</v>
      </c>
      <c r="C8" s="58">
        <v>1</v>
      </c>
      <c r="D8" s="46">
        <v>352</v>
      </c>
      <c r="E8" s="22"/>
      <c r="F8" s="23" t="s">
        <v>359</v>
      </c>
      <c r="G8" s="165" t="s">
        <v>30</v>
      </c>
      <c r="H8" s="24" t="s">
        <v>1181</v>
      </c>
      <c r="I8" s="24" t="s">
        <v>1182</v>
      </c>
      <c r="J8" s="25" t="s">
        <v>360</v>
      </c>
    </row>
    <row r="9" spans="1:10" ht="32.25" customHeight="1" x14ac:dyDescent="0.25">
      <c r="A9" s="174" t="s">
        <v>361</v>
      </c>
      <c r="B9" s="69" t="s">
        <v>362</v>
      </c>
      <c r="C9" s="58">
        <v>1</v>
      </c>
      <c r="D9" s="46">
        <v>419</v>
      </c>
      <c r="E9" s="22"/>
      <c r="F9" s="23" t="s">
        <v>363</v>
      </c>
      <c r="G9" s="168" t="s">
        <v>282</v>
      </c>
      <c r="H9" s="24" t="s">
        <v>1187</v>
      </c>
      <c r="I9" s="24" t="s">
        <v>1186</v>
      </c>
      <c r="J9" s="25" t="s">
        <v>364</v>
      </c>
    </row>
    <row r="10" spans="1:10" ht="78.75" x14ac:dyDescent="0.25">
      <c r="A10" s="174"/>
      <c r="B10" s="69" t="s">
        <v>365</v>
      </c>
      <c r="C10" s="58">
        <v>1</v>
      </c>
      <c r="D10" s="46">
        <v>548</v>
      </c>
      <c r="E10" s="22"/>
      <c r="F10" s="23" t="s">
        <v>366</v>
      </c>
      <c r="G10" s="22" t="s">
        <v>30</v>
      </c>
      <c r="H10" s="24" t="s">
        <v>1242</v>
      </c>
      <c r="I10" s="24" t="s">
        <v>1243</v>
      </c>
      <c r="J10" s="25" t="s">
        <v>1241</v>
      </c>
    </row>
    <row r="11" spans="1:10" ht="362.25" x14ac:dyDescent="0.25">
      <c r="A11" s="174"/>
      <c r="B11" s="69" t="s">
        <v>367</v>
      </c>
      <c r="C11" s="70">
        <v>2</v>
      </c>
      <c r="D11" s="50">
        <v>732</v>
      </c>
      <c r="E11" s="28"/>
      <c r="F11" s="29" t="s">
        <v>368</v>
      </c>
      <c r="G11" s="28" t="s">
        <v>282</v>
      </c>
      <c r="H11" s="79" t="s">
        <v>1246</v>
      </c>
      <c r="I11" s="79" t="s">
        <v>1244</v>
      </c>
      <c r="J11" s="80" t="s">
        <v>1245</v>
      </c>
    </row>
  </sheetData>
  <mergeCells count="3">
    <mergeCell ref="A2:A6"/>
    <mergeCell ref="A7:A8"/>
    <mergeCell ref="A9:A11"/>
  </mergeCells>
  <dataValidations count="1">
    <dataValidation type="list" operator="equal" showErrorMessage="1" sqref="G2:G11" xr:uid="{00000000-0002-0000-04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31"/>
  <sheetViews>
    <sheetView topLeftCell="A26" zoomScale="84" zoomScaleNormal="95" workbookViewId="0">
      <selection activeCell="I31" sqref="I31"/>
    </sheetView>
  </sheetViews>
  <sheetFormatPr defaultColWidth="8.85546875" defaultRowHeight="21" x14ac:dyDescent="0.35"/>
  <cols>
    <col min="1" max="1" width="53.42578125" style="64" customWidth="1"/>
    <col min="2" max="2" width="11.5703125" style="20" customWidth="1"/>
    <col min="3" max="5" width="8.85546875" style="52"/>
    <col min="6" max="6" width="60.7109375" style="20" customWidth="1"/>
    <col min="7" max="7" width="22.7109375" style="20" customWidth="1"/>
    <col min="8" max="8" width="41.28515625" style="20" customWidth="1"/>
    <col min="9" max="9" width="35.28515625" style="20" customWidth="1"/>
    <col min="10" max="10" width="29" style="20" customWidth="1"/>
    <col min="11" max="1024" width="8.85546875" style="20"/>
  </cols>
  <sheetData>
    <row r="1" spans="1:10" s="36" customFormat="1" ht="42" x14ac:dyDescent="0.2">
      <c r="A1" s="33" t="s">
        <v>24</v>
      </c>
      <c r="B1" s="54" t="s">
        <v>25</v>
      </c>
      <c r="C1" s="53" t="s">
        <v>26</v>
      </c>
      <c r="D1" s="53" t="s">
        <v>27</v>
      </c>
      <c r="E1" s="53" t="s">
        <v>28</v>
      </c>
      <c r="F1" s="54" t="s">
        <v>29</v>
      </c>
      <c r="G1" s="54" t="s">
        <v>30</v>
      </c>
      <c r="H1" s="54" t="s">
        <v>31</v>
      </c>
      <c r="I1" s="54" t="s">
        <v>32</v>
      </c>
      <c r="J1" s="54" t="s">
        <v>33</v>
      </c>
    </row>
    <row r="2" spans="1:10" ht="79.5" customHeight="1" x14ac:dyDescent="0.25">
      <c r="A2" s="174" t="s">
        <v>369</v>
      </c>
      <c r="B2" s="55" t="s">
        <v>370</v>
      </c>
      <c r="C2" s="56">
        <v>1</v>
      </c>
      <c r="D2" s="39">
        <v>235</v>
      </c>
      <c r="E2" s="57"/>
      <c r="F2" s="71" t="s">
        <v>371</v>
      </c>
      <c r="G2" s="42" t="s">
        <v>282</v>
      </c>
      <c r="H2" s="43" t="s">
        <v>372</v>
      </c>
      <c r="I2" s="43" t="s">
        <v>373</v>
      </c>
      <c r="J2" s="44" t="s">
        <v>374</v>
      </c>
    </row>
    <row r="3" spans="1:10" ht="141.75" x14ac:dyDescent="0.25">
      <c r="A3" s="174"/>
      <c r="B3" s="55" t="s">
        <v>375</v>
      </c>
      <c r="C3" s="58">
        <v>1</v>
      </c>
      <c r="D3" s="46">
        <v>915</v>
      </c>
      <c r="E3" s="59"/>
      <c r="F3" s="72" t="s">
        <v>376</v>
      </c>
      <c r="G3" s="22" t="s">
        <v>282</v>
      </c>
      <c r="H3" s="24" t="s">
        <v>377</v>
      </c>
      <c r="I3" s="24" t="s">
        <v>378</v>
      </c>
      <c r="J3" s="25" t="s">
        <v>379</v>
      </c>
    </row>
    <row r="4" spans="1:10" ht="78.75" x14ac:dyDescent="0.25">
      <c r="A4" s="174"/>
      <c r="B4" s="55" t="s">
        <v>380</v>
      </c>
      <c r="C4" s="58">
        <v>1</v>
      </c>
      <c r="D4" s="46">
        <v>20</v>
      </c>
      <c r="E4" s="59"/>
      <c r="F4" s="72" t="s">
        <v>381</v>
      </c>
      <c r="G4" s="22" t="s">
        <v>282</v>
      </c>
      <c r="H4" s="24" t="s">
        <v>382</v>
      </c>
      <c r="I4" s="24" t="s">
        <v>383</v>
      </c>
      <c r="J4" s="25" t="s">
        <v>384</v>
      </c>
    </row>
    <row r="5" spans="1:10" ht="220.5" x14ac:dyDescent="0.25">
      <c r="A5" s="174"/>
      <c r="B5" s="55" t="s">
        <v>385</v>
      </c>
      <c r="C5" s="58">
        <v>1</v>
      </c>
      <c r="D5" s="46">
        <v>20</v>
      </c>
      <c r="E5" s="59"/>
      <c r="F5" s="72" t="s">
        <v>386</v>
      </c>
      <c r="G5" s="22" t="s">
        <v>282</v>
      </c>
      <c r="H5" s="24" t="s">
        <v>387</v>
      </c>
      <c r="I5" s="24" t="s">
        <v>388</v>
      </c>
      <c r="J5" s="25" t="s">
        <v>389</v>
      </c>
    </row>
    <row r="6" spans="1:10" ht="126" x14ac:dyDescent="0.25">
      <c r="A6" s="174"/>
      <c r="B6" s="55" t="s">
        <v>390</v>
      </c>
      <c r="C6" s="58">
        <v>1</v>
      </c>
      <c r="D6" s="46">
        <v>601</v>
      </c>
      <c r="E6" s="59"/>
      <c r="F6" s="72" t="s">
        <v>391</v>
      </c>
      <c r="G6" s="22" t="s">
        <v>282</v>
      </c>
      <c r="H6" s="24" t="s">
        <v>392</v>
      </c>
      <c r="I6" s="24" t="s">
        <v>393</v>
      </c>
      <c r="J6" s="25" t="s">
        <v>394</v>
      </c>
    </row>
    <row r="7" spans="1:10" ht="63.75" customHeight="1" x14ac:dyDescent="0.25">
      <c r="A7" s="174" t="s">
        <v>395</v>
      </c>
      <c r="B7" s="55" t="s">
        <v>250</v>
      </c>
      <c r="C7" s="58">
        <v>1</v>
      </c>
      <c r="D7" s="46">
        <v>116</v>
      </c>
      <c r="E7" s="59"/>
      <c r="F7" s="72" t="s">
        <v>396</v>
      </c>
      <c r="G7" s="22" t="s">
        <v>282</v>
      </c>
      <c r="H7" s="24" t="s">
        <v>397</v>
      </c>
      <c r="I7" s="24" t="s">
        <v>398</v>
      </c>
      <c r="J7" s="26"/>
    </row>
    <row r="8" spans="1:10" ht="47.25" x14ac:dyDescent="0.25">
      <c r="A8" s="174"/>
      <c r="B8" s="55" t="s">
        <v>399</v>
      </c>
      <c r="C8" s="58">
        <v>1</v>
      </c>
      <c r="D8" s="46">
        <v>138</v>
      </c>
      <c r="E8" s="59"/>
      <c r="F8" s="72" t="s">
        <v>400</v>
      </c>
      <c r="G8" s="22" t="s">
        <v>282</v>
      </c>
      <c r="H8" s="24" t="s">
        <v>401</v>
      </c>
      <c r="I8" s="24" t="s">
        <v>402</v>
      </c>
      <c r="J8" s="25" t="s">
        <v>403</v>
      </c>
    </row>
    <row r="9" spans="1:10" ht="63" x14ac:dyDescent="0.25">
      <c r="A9" s="174"/>
      <c r="B9" s="55" t="s">
        <v>253</v>
      </c>
      <c r="C9" s="58">
        <v>1</v>
      </c>
      <c r="D9" s="46">
        <v>147</v>
      </c>
      <c r="E9" s="59"/>
      <c r="F9" s="72" t="s">
        <v>404</v>
      </c>
      <c r="G9" s="22" t="s">
        <v>282</v>
      </c>
      <c r="H9" s="24" t="s">
        <v>405</v>
      </c>
      <c r="I9" s="24" t="s">
        <v>406</v>
      </c>
      <c r="J9" s="25" t="s">
        <v>407</v>
      </c>
    </row>
    <row r="10" spans="1:10" ht="63" x14ac:dyDescent="0.25">
      <c r="A10" s="174"/>
      <c r="B10" s="55" t="s">
        <v>408</v>
      </c>
      <c r="C10" s="58">
        <v>1</v>
      </c>
      <c r="D10" s="46">
        <v>95</v>
      </c>
      <c r="E10" s="59"/>
      <c r="F10" s="72" t="s">
        <v>409</v>
      </c>
      <c r="G10" s="22" t="s">
        <v>30</v>
      </c>
      <c r="H10" s="24" t="s">
        <v>410</v>
      </c>
      <c r="I10" s="22" t="s">
        <v>411</v>
      </c>
      <c r="J10" s="26"/>
    </row>
    <row r="11" spans="1:10" ht="47.25" x14ac:dyDescent="0.25">
      <c r="A11" s="174"/>
      <c r="B11" s="55" t="s">
        <v>168</v>
      </c>
      <c r="C11" s="58">
        <v>1</v>
      </c>
      <c r="D11" s="46">
        <v>94</v>
      </c>
      <c r="E11" s="59"/>
      <c r="F11" s="72" t="s">
        <v>412</v>
      </c>
      <c r="G11" s="22" t="s">
        <v>282</v>
      </c>
      <c r="H11" s="24" t="s">
        <v>413</v>
      </c>
      <c r="I11" s="24" t="s">
        <v>414</v>
      </c>
      <c r="J11" s="25" t="s">
        <v>415</v>
      </c>
    </row>
    <row r="12" spans="1:10" ht="63" x14ac:dyDescent="0.25">
      <c r="A12" s="174"/>
      <c r="B12" s="55" t="s">
        <v>171</v>
      </c>
      <c r="C12" s="58">
        <v>1</v>
      </c>
      <c r="D12" s="46">
        <v>918</v>
      </c>
      <c r="E12" s="59"/>
      <c r="F12" s="72" t="s">
        <v>416</v>
      </c>
      <c r="G12" s="22" t="s">
        <v>282</v>
      </c>
      <c r="H12" s="24" t="s">
        <v>417</v>
      </c>
      <c r="I12" s="24" t="s">
        <v>418</v>
      </c>
      <c r="J12" s="26"/>
    </row>
    <row r="13" spans="1:10" ht="63" x14ac:dyDescent="0.25">
      <c r="A13" s="174"/>
      <c r="B13" s="55" t="s">
        <v>419</v>
      </c>
      <c r="C13" s="58">
        <v>1</v>
      </c>
      <c r="D13" s="46">
        <v>159</v>
      </c>
      <c r="E13" s="59"/>
      <c r="F13" s="72" t="s">
        <v>420</v>
      </c>
      <c r="G13" s="22" t="s">
        <v>282</v>
      </c>
      <c r="H13" s="24" t="s">
        <v>421</v>
      </c>
      <c r="I13" s="24" t="s">
        <v>422</v>
      </c>
      <c r="J13" s="26"/>
    </row>
    <row r="14" spans="1:10" ht="63" x14ac:dyDescent="0.25">
      <c r="A14" s="174"/>
      <c r="B14" s="55" t="s">
        <v>174</v>
      </c>
      <c r="C14" s="58">
        <v>1</v>
      </c>
      <c r="D14" s="46">
        <v>94</v>
      </c>
      <c r="E14" s="59"/>
      <c r="F14" s="72" t="s">
        <v>423</v>
      </c>
      <c r="G14" s="22" t="s">
        <v>282</v>
      </c>
      <c r="H14" s="24" t="s">
        <v>424</v>
      </c>
      <c r="I14" s="24" t="s">
        <v>425</v>
      </c>
      <c r="J14" s="26"/>
    </row>
    <row r="15" spans="1:10" ht="126.75" customHeight="1" x14ac:dyDescent="0.25">
      <c r="A15" s="174" t="s">
        <v>426</v>
      </c>
      <c r="B15" s="55" t="s">
        <v>427</v>
      </c>
      <c r="C15" s="58">
        <v>1</v>
      </c>
      <c r="D15" s="46">
        <v>116</v>
      </c>
      <c r="E15" s="59"/>
      <c r="F15" s="72" t="s">
        <v>428</v>
      </c>
      <c r="G15" s="22" t="s">
        <v>282</v>
      </c>
      <c r="H15" s="24" t="s">
        <v>429</v>
      </c>
      <c r="I15" s="24" t="s">
        <v>430</v>
      </c>
      <c r="J15" s="26"/>
    </row>
    <row r="16" spans="1:10" ht="78.75" x14ac:dyDescent="0.25">
      <c r="A16" s="174"/>
      <c r="B16" s="55" t="s">
        <v>431</v>
      </c>
      <c r="C16" s="58">
        <v>1</v>
      </c>
      <c r="D16" s="46">
        <v>176</v>
      </c>
      <c r="E16" s="59"/>
      <c r="F16" s="72" t="s">
        <v>432</v>
      </c>
      <c r="G16" s="22" t="s">
        <v>282</v>
      </c>
      <c r="H16" s="24" t="s">
        <v>433</v>
      </c>
      <c r="I16" s="24" t="s">
        <v>434</v>
      </c>
      <c r="J16" s="26"/>
    </row>
    <row r="17" spans="1:10" ht="78.75" x14ac:dyDescent="0.25">
      <c r="A17" s="174"/>
      <c r="B17" s="55" t="s">
        <v>435</v>
      </c>
      <c r="C17" s="58">
        <v>1</v>
      </c>
      <c r="D17" s="46">
        <v>79</v>
      </c>
      <c r="E17" s="59"/>
      <c r="F17" s="72" t="s">
        <v>436</v>
      </c>
      <c r="G17" s="22" t="s">
        <v>282</v>
      </c>
      <c r="H17" s="24" t="s">
        <v>437</v>
      </c>
      <c r="I17" s="24" t="s">
        <v>438</v>
      </c>
      <c r="J17" s="26"/>
    </row>
    <row r="18" spans="1:10" ht="189" x14ac:dyDescent="0.25">
      <c r="A18" s="174"/>
      <c r="B18" s="55" t="s">
        <v>439</v>
      </c>
      <c r="C18" s="58">
        <v>1</v>
      </c>
      <c r="D18" s="46">
        <v>89</v>
      </c>
      <c r="E18" s="59"/>
      <c r="F18" s="72" t="s">
        <v>440</v>
      </c>
      <c r="G18" s="22" t="s">
        <v>30</v>
      </c>
      <c r="H18" s="24" t="s">
        <v>441</v>
      </c>
      <c r="I18" s="24" t="s">
        <v>442</v>
      </c>
      <c r="J18" s="25" t="s">
        <v>443</v>
      </c>
    </row>
    <row r="19" spans="1:10" ht="94.5" x14ac:dyDescent="0.25">
      <c r="A19" s="174"/>
      <c r="B19" s="55" t="s">
        <v>444</v>
      </c>
      <c r="C19" s="58">
        <v>1</v>
      </c>
      <c r="D19" s="46">
        <v>89</v>
      </c>
      <c r="E19" s="59"/>
      <c r="F19" s="72" t="s">
        <v>445</v>
      </c>
      <c r="G19" s="22" t="s">
        <v>30</v>
      </c>
      <c r="H19" s="24" t="s">
        <v>446</v>
      </c>
      <c r="I19" s="24" t="s">
        <v>447</v>
      </c>
      <c r="J19" s="25" t="s">
        <v>443</v>
      </c>
    </row>
    <row r="20" spans="1:10" ht="63" x14ac:dyDescent="0.25">
      <c r="A20" s="174"/>
      <c r="B20" s="55" t="s">
        <v>448</v>
      </c>
      <c r="C20" s="58">
        <v>1</v>
      </c>
      <c r="D20" s="46">
        <v>830</v>
      </c>
      <c r="E20" s="59"/>
      <c r="F20" s="72" t="s">
        <v>449</v>
      </c>
      <c r="G20" s="22" t="s">
        <v>282</v>
      </c>
      <c r="H20" s="24" t="s">
        <v>450</v>
      </c>
      <c r="I20" s="24" t="s">
        <v>451</v>
      </c>
      <c r="J20" s="26"/>
    </row>
    <row r="21" spans="1:10" ht="189" x14ac:dyDescent="0.25">
      <c r="A21" s="174"/>
      <c r="B21" s="55" t="s">
        <v>452</v>
      </c>
      <c r="C21" s="58">
        <v>1</v>
      </c>
      <c r="D21" s="46">
        <v>943</v>
      </c>
      <c r="E21" s="59"/>
      <c r="F21" s="72" t="s">
        <v>453</v>
      </c>
      <c r="G21" s="22" t="s">
        <v>30</v>
      </c>
      <c r="H21" s="24" t="s">
        <v>454</v>
      </c>
      <c r="I21" s="24" t="s">
        <v>455</v>
      </c>
      <c r="J21" s="25" t="s">
        <v>456</v>
      </c>
    </row>
    <row r="22" spans="1:10" ht="157.5" x14ac:dyDescent="0.25">
      <c r="A22" s="174"/>
      <c r="B22" s="55" t="s">
        <v>457</v>
      </c>
      <c r="C22" s="58">
        <v>1</v>
      </c>
      <c r="D22" s="46">
        <v>78</v>
      </c>
      <c r="E22" s="59"/>
      <c r="F22" s="72" t="s">
        <v>458</v>
      </c>
      <c r="G22" s="22" t="s">
        <v>30</v>
      </c>
      <c r="H22" s="24" t="s">
        <v>459</v>
      </c>
      <c r="I22" s="24" t="s">
        <v>460</v>
      </c>
      <c r="J22" s="25" t="s">
        <v>461</v>
      </c>
    </row>
    <row r="23" spans="1:10" ht="220.5" x14ac:dyDescent="0.25">
      <c r="A23" s="174"/>
      <c r="B23" s="55" t="s">
        <v>462</v>
      </c>
      <c r="C23" s="58">
        <v>1</v>
      </c>
      <c r="D23" s="46">
        <v>829</v>
      </c>
      <c r="E23" s="21"/>
      <c r="F23" s="72" t="s">
        <v>463</v>
      </c>
      <c r="G23" s="22" t="s">
        <v>30</v>
      </c>
      <c r="H23" s="24" t="s">
        <v>464</v>
      </c>
      <c r="I23" s="24" t="s">
        <v>465</v>
      </c>
      <c r="J23" s="26"/>
    </row>
    <row r="24" spans="1:10" ht="94.5" x14ac:dyDescent="0.25">
      <c r="A24" s="174"/>
      <c r="B24" s="55" t="s">
        <v>466</v>
      </c>
      <c r="C24" s="58">
        <v>1</v>
      </c>
      <c r="D24" s="46">
        <v>643</v>
      </c>
      <c r="E24" s="21"/>
      <c r="F24" s="72" t="s">
        <v>467</v>
      </c>
      <c r="G24" s="22" t="s">
        <v>30</v>
      </c>
      <c r="H24" s="24" t="s">
        <v>468</v>
      </c>
      <c r="I24" s="86" t="s">
        <v>469</v>
      </c>
      <c r="J24" s="26"/>
    </row>
    <row r="25" spans="1:10" ht="48" customHeight="1" x14ac:dyDescent="0.25">
      <c r="A25" s="174" t="s">
        <v>470</v>
      </c>
      <c r="B25" s="55" t="s">
        <v>471</v>
      </c>
      <c r="C25" s="60">
        <v>2</v>
      </c>
      <c r="D25" s="46">
        <v>120</v>
      </c>
      <c r="E25" s="21"/>
      <c r="F25" s="72" t="s">
        <v>472</v>
      </c>
      <c r="G25" s="22" t="s">
        <v>30</v>
      </c>
      <c r="H25" s="24" t="s">
        <v>473</v>
      </c>
      <c r="I25" s="24" t="s">
        <v>474</v>
      </c>
      <c r="J25" s="26"/>
    </row>
    <row r="26" spans="1:10" ht="189" x14ac:dyDescent="0.25">
      <c r="A26" s="174"/>
      <c r="B26" s="55" t="s">
        <v>475</v>
      </c>
      <c r="C26" s="60">
        <v>2</v>
      </c>
      <c r="D26" s="46">
        <v>134</v>
      </c>
      <c r="E26" s="21"/>
      <c r="F26" s="72" t="s">
        <v>476</v>
      </c>
      <c r="G26" s="22" t="s">
        <v>30</v>
      </c>
      <c r="H26" s="24" t="s">
        <v>477</v>
      </c>
      <c r="I26" s="24" t="s">
        <v>478</v>
      </c>
      <c r="J26" s="26"/>
    </row>
    <row r="27" spans="1:10" ht="47.25" x14ac:dyDescent="0.25">
      <c r="A27" s="174"/>
      <c r="B27" s="55" t="s">
        <v>479</v>
      </c>
      <c r="C27" s="60">
        <v>2</v>
      </c>
      <c r="D27" s="46">
        <v>190</v>
      </c>
      <c r="E27" s="21"/>
      <c r="F27" s="72" t="s">
        <v>480</v>
      </c>
      <c r="G27" s="22" t="s">
        <v>282</v>
      </c>
      <c r="H27" s="24" t="s">
        <v>481</v>
      </c>
      <c r="I27" s="24" t="s">
        <v>482</v>
      </c>
      <c r="J27" s="26"/>
    </row>
    <row r="28" spans="1:10" ht="63.75" customHeight="1" x14ac:dyDescent="0.25">
      <c r="A28" s="174" t="s">
        <v>483</v>
      </c>
      <c r="B28" s="55" t="s">
        <v>484</v>
      </c>
      <c r="C28" s="58">
        <v>1</v>
      </c>
      <c r="D28" s="46">
        <v>502</v>
      </c>
      <c r="E28" s="21"/>
      <c r="F28" s="72" t="s">
        <v>485</v>
      </c>
      <c r="G28" s="22" t="s">
        <v>282</v>
      </c>
      <c r="H28" s="24" t="s">
        <v>486</v>
      </c>
      <c r="I28" s="24" t="s">
        <v>487</v>
      </c>
      <c r="J28" s="26"/>
    </row>
    <row r="29" spans="1:10" ht="94.5" x14ac:dyDescent="0.25">
      <c r="A29" s="174"/>
      <c r="B29" s="55" t="s">
        <v>488</v>
      </c>
      <c r="C29" s="58">
        <v>1</v>
      </c>
      <c r="D29" s="46">
        <v>611</v>
      </c>
      <c r="E29" s="21"/>
      <c r="F29" s="72" t="s">
        <v>489</v>
      </c>
      <c r="G29" s="22" t="s">
        <v>30</v>
      </c>
      <c r="H29" s="24" t="s">
        <v>490</v>
      </c>
      <c r="I29" s="24" t="s">
        <v>491</v>
      </c>
      <c r="J29" s="26"/>
    </row>
    <row r="30" spans="1:10" ht="47.25" x14ac:dyDescent="0.25">
      <c r="A30" s="174"/>
      <c r="B30" s="55" t="s">
        <v>492</v>
      </c>
      <c r="C30" s="58">
        <v>1</v>
      </c>
      <c r="D30" s="46">
        <v>502</v>
      </c>
      <c r="E30" s="21"/>
      <c r="F30" s="72" t="s">
        <v>493</v>
      </c>
      <c r="G30" s="22" t="s">
        <v>282</v>
      </c>
      <c r="H30" s="24" t="s">
        <v>494</v>
      </c>
      <c r="I30" s="24" t="s">
        <v>495</v>
      </c>
      <c r="J30" s="26"/>
    </row>
    <row r="31" spans="1:10" ht="157.5" x14ac:dyDescent="0.25">
      <c r="A31" s="174"/>
      <c r="B31" s="55" t="s">
        <v>496</v>
      </c>
      <c r="C31" s="62">
        <v>1</v>
      </c>
      <c r="D31" s="50">
        <v>95</v>
      </c>
      <c r="E31" s="27"/>
      <c r="F31" s="73" t="s">
        <v>497</v>
      </c>
      <c r="G31" s="28" t="s">
        <v>30</v>
      </c>
      <c r="H31" s="28" t="s">
        <v>498</v>
      </c>
      <c r="I31" s="79" t="s">
        <v>499</v>
      </c>
      <c r="J31" s="30"/>
    </row>
  </sheetData>
  <mergeCells count="5">
    <mergeCell ref="A2:A6"/>
    <mergeCell ref="A7:A14"/>
    <mergeCell ref="A15:A24"/>
    <mergeCell ref="A25:A27"/>
    <mergeCell ref="A28:A31"/>
  </mergeCells>
  <dataValidations count="1">
    <dataValidation type="list" operator="equal" showErrorMessage="1" sqref="G2:G31" xr:uid="{00000000-0002-0000-05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7"/>
  <sheetViews>
    <sheetView topLeftCell="E1" zoomScale="98" zoomScaleNormal="40" workbookViewId="0">
      <selection activeCell="F12" sqref="F12"/>
    </sheetView>
  </sheetViews>
  <sheetFormatPr defaultColWidth="8.85546875" defaultRowHeight="21" x14ac:dyDescent="0.35"/>
  <cols>
    <col min="1" max="1" width="35.28515625" style="64" customWidth="1"/>
    <col min="2" max="2" width="6.7109375" style="20" customWidth="1"/>
    <col min="3" max="3" width="12.42578125" style="52" customWidth="1"/>
    <col min="4" max="5" width="8.85546875" style="52"/>
    <col min="6" max="6" width="97.140625" style="20" customWidth="1"/>
    <col min="7" max="7" width="8.5703125" style="20" customWidth="1"/>
    <col min="8" max="8" width="36.140625" style="20" customWidth="1"/>
    <col min="9" max="9" width="18" style="20" customWidth="1"/>
    <col min="10" max="10" width="27.28515625" style="20" customWidth="1"/>
    <col min="11" max="1024" width="8.85546875" style="20"/>
  </cols>
  <sheetData>
    <row r="1" spans="1:10" s="36" customFormat="1" ht="42" x14ac:dyDescent="0.2">
      <c r="A1" s="75" t="s">
        <v>24</v>
      </c>
      <c r="B1" s="53" t="s">
        <v>25</v>
      </c>
      <c r="C1" s="53" t="s">
        <v>26</v>
      </c>
      <c r="D1" s="53" t="s">
        <v>27</v>
      </c>
      <c r="E1" s="53" t="s">
        <v>28</v>
      </c>
      <c r="F1" s="53" t="s">
        <v>29</v>
      </c>
      <c r="G1" s="53" t="s">
        <v>30</v>
      </c>
      <c r="H1" s="53" t="s">
        <v>31</v>
      </c>
      <c r="I1" s="53" t="s">
        <v>32</v>
      </c>
      <c r="J1" s="53" t="s">
        <v>33</v>
      </c>
    </row>
    <row r="2" spans="1:10" ht="285.60000000000002" customHeight="1" x14ac:dyDescent="0.25">
      <c r="A2" s="174" t="s">
        <v>500</v>
      </c>
      <c r="B2" s="37" t="s">
        <v>501</v>
      </c>
      <c r="C2" s="158">
        <v>2</v>
      </c>
      <c r="D2" s="39">
        <v>311</v>
      </c>
      <c r="E2" s="40"/>
      <c r="F2" s="83" t="s">
        <v>502</v>
      </c>
      <c r="G2" s="43" t="s">
        <v>282</v>
      </c>
      <c r="H2" s="43"/>
      <c r="I2" s="43" t="s">
        <v>1239</v>
      </c>
      <c r="J2" s="84" t="s">
        <v>1124</v>
      </c>
    </row>
    <row r="3" spans="1:10" ht="31.5" x14ac:dyDescent="0.25">
      <c r="A3" s="174"/>
      <c r="B3" s="37" t="s">
        <v>503</v>
      </c>
      <c r="C3" s="48">
        <v>2</v>
      </c>
      <c r="D3" s="46">
        <v>311</v>
      </c>
      <c r="E3" s="21"/>
      <c r="F3" s="72" t="s">
        <v>504</v>
      </c>
      <c r="G3" s="24" t="s">
        <v>282</v>
      </c>
      <c r="H3" s="24"/>
      <c r="I3" s="24"/>
      <c r="J3" s="25"/>
    </row>
    <row r="4" spans="1:10" ht="47.25" x14ac:dyDescent="0.25">
      <c r="A4" s="174"/>
      <c r="B4" s="37" t="s">
        <v>184</v>
      </c>
      <c r="C4" s="48">
        <v>2</v>
      </c>
      <c r="D4" s="46">
        <v>311</v>
      </c>
      <c r="E4" s="21"/>
      <c r="F4" s="72" t="s">
        <v>505</v>
      </c>
      <c r="G4" s="24" t="s">
        <v>282</v>
      </c>
      <c r="H4" s="24"/>
      <c r="I4" s="24"/>
      <c r="J4" s="25"/>
    </row>
    <row r="5" spans="1:10" ht="32.25" customHeight="1" x14ac:dyDescent="0.25">
      <c r="A5" s="174" t="s">
        <v>506</v>
      </c>
      <c r="B5" s="37" t="s">
        <v>507</v>
      </c>
      <c r="C5" s="45">
        <v>1</v>
      </c>
      <c r="D5" s="46">
        <v>310</v>
      </c>
      <c r="E5" s="21"/>
      <c r="F5" s="72" t="s">
        <v>508</v>
      </c>
      <c r="G5" s="163" t="s">
        <v>30</v>
      </c>
      <c r="H5" s="24" t="s">
        <v>1282</v>
      </c>
      <c r="I5" t="s">
        <v>1281</v>
      </c>
      <c r="J5" s="25" t="s">
        <v>1135</v>
      </c>
    </row>
    <row r="6" spans="1:10" ht="409.5" x14ac:dyDescent="0.25">
      <c r="A6" s="174"/>
      <c r="B6" s="37" t="s">
        <v>509</v>
      </c>
      <c r="C6" s="48">
        <v>2</v>
      </c>
      <c r="D6" s="46">
        <v>327</v>
      </c>
      <c r="E6" s="21"/>
      <c r="F6" s="72" t="s">
        <v>510</v>
      </c>
      <c r="G6" s="24" t="s">
        <v>30</v>
      </c>
      <c r="H6" s="24" t="s">
        <v>1283</v>
      </c>
      <c r="I6" s="24" t="s">
        <v>1284</v>
      </c>
      <c r="J6" s="25" t="s">
        <v>1135</v>
      </c>
    </row>
    <row r="7" spans="1:10" ht="31.5" x14ac:dyDescent="0.25">
      <c r="A7" s="174"/>
      <c r="B7" s="37" t="s">
        <v>511</v>
      </c>
      <c r="C7" s="48">
        <v>2</v>
      </c>
      <c r="D7" s="46">
        <v>326</v>
      </c>
      <c r="E7" s="21"/>
      <c r="F7" s="72" t="s">
        <v>512</v>
      </c>
      <c r="G7" s="24" t="s">
        <v>282</v>
      </c>
      <c r="H7" s="24"/>
      <c r="I7" s="24"/>
      <c r="J7" s="25"/>
    </row>
    <row r="8" spans="1:10" ht="283.5" x14ac:dyDescent="0.25">
      <c r="A8" s="174"/>
      <c r="B8" s="37" t="s">
        <v>513</v>
      </c>
      <c r="C8" s="48">
        <v>2</v>
      </c>
      <c r="D8" s="46">
        <v>326</v>
      </c>
      <c r="E8" s="21"/>
      <c r="F8" s="72" t="s">
        <v>514</v>
      </c>
      <c r="G8" s="163" t="s">
        <v>30</v>
      </c>
      <c r="H8" s="24" t="s">
        <v>1286</v>
      </c>
      <c r="I8" s="24" t="s">
        <v>1285</v>
      </c>
      <c r="J8" s="25" t="s">
        <v>1135</v>
      </c>
    </row>
    <row r="9" spans="1:10" ht="267.75" x14ac:dyDescent="0.25">
      <c r="A9" s="174"/>
      <c r="B9" s="37" t="s">
        <v>515</v>
      </c>
      <c r="C9" s="48">
        <v>2</v>
      </c>
      <c r="D9" s="46">
        <v>326</v>
      </c>
      <c r="E9" s="21"/>
      <c r="F9" s="72" t="s">
        <v>516</v>
      </c>
      <c r="G9" s="24" t="s">
        <v>30</v>
      </c>
      <c r="H9" s="24" t="s">
        <v>1287</v>
      </c>
      <c r="I9" s="24" t="s">
        <v>1288</v>
      </c>
      <c r="J9" s="25" t="s">
        <v>1135</v>
      </c>
    </row>
    <row r="10" spans="1:10" ht="47.25" x14ac:dyDescent="0.25">
      <c r="A10" s="174"/>
      <c r="B10" s="37" t="s">
        <v>517</v>
      </c>
      <c r="C10" s="48">
        <v>2</v>
      </c>
      <c r="D10" s="46">
        <v>326</v>
      </c>
      <c r="E10" s="21"/>
      <c r="F10" s="72" t="s">
        <v>518</v>
      </c>
      <c r="G10" s="24" t="s">
        <v>282</v>
      </c>
      <c r="H10" s="24"/>
      <c r="I10" s="24"/>
      <c r="J10" s="25"/>
    </row>
    <row r="11" spans="1:10" ht="31.5" x14ac:dyDescent="0.25">
      <c r="A11" s="174"/>
      <c r="B11" s="37" t="s">
        <v>519</v>
      </c>
      <c r="C11" s="47">
        <v>3</v>
      </c>
      <c r="D11" s="46">
        <v>326</v>
      </c>
      <c r="E11" s="21"/>
      <c r="F11" s="72" t="s">
        <v>520</v>
      </c>
      <c r="G11" s="24" t="s">
        <v>282</v>
      </c>
      <c r="H11" s="24"/>
      <c r="I11" s="24"/>
      <c r="J11" s="25"/>
    </row>
    <row r="12" spans="1:10" ht="31.5" x14ac:dyDescent="0.25">
      <c r="A12" s="174"/>
      <c r="B12" s="37" t="s">
        <v>521</v>
      </c>
      <c r="C12" s="47">
        <v>3</v>
      </c>
      <c r="D12" s="46">
        <v>385</v>
      </c>
      <c r="E12" s="21"/>
      <c r="F12" s="72" t="s">
        <v>522</v>
      </c>
      <c r="G12" s="24" t="s">
        <v>282</v>
      </c>
      <c r="H12" s="24"/>
      <c r="I12" s="24"/>
      <c r="J12" s="25"/>
    </row>
    <row r="13" spans="1:10" ht="48" customHeight="1" x14ac:dyDescent="0.25">
      <c r="A13" s="174" t="s">
        <v>523</v>
      </c>
      <c r="B13" s="37" t="s">
        <v>524</v>
      </c>
      <c r="C13" s="48">
        <v>2</v>
      </c>
      <c r="D13" s="46">
        <v>338</v>
      </c>
      <c r="E13" s="21"/>
      <c r="F13" s="72" t="s">
        <v>525</v>
      </c>
      <c r="G13" s="24" t="s">
        <v>30</v>
      </c>
      <c r="H13" s="24" t="s">
        <v>1291</v>
      </c>
      <c r="I13" s="24" t="s">
        <v>1289</v>
      </c>
      <c r="J13" s="25" t="s">
        <v>1292</v>
      </c>
    </row>
    <row r="14" spans="1:10" ht="126" x14ac:dyDescent="0.25">
      <c r="A14" s="174"/>
      <c r="B14" s="37" t="s">
        <v>526</v>
      </c>
      <c r="C14" s="48">
        <v>2</v>
      </c>
      <c r="D14" s="46">
        <v>338</v>
      </c>
      <c r="E14" s="21"/>
      <c r="F14" s="72" t="s">
        <v>527</v>
      </c>
      <c r="G14" s="24" t="s">
        <v>30</v>
      </c>
      <c r="H14" s="24" t="s">
        <v>1291</v>
      </c>
      <c r="I14" s="24" t="s">
        <v>1290</v>
      </c>
      <c r="J14" s="25" t="s">
        <v>1292</v>
      </c>
    </row>
    <row r="15" spans="1:10" ht="31.5" x14ac:dyDescent="0.25">
      <c r="A15" s="174"/>
      <c r="B15" s="37" t="s">
        <v>528</v>
      </c>
      <c r="C15" s="47">
        <v>3</v>
      </c>
      <c r="D15" s="46">
        <v>338</v>
      </c>
      <c r="E15" s="21"/>
      <c r="F15" s="72" t="s">
        <v>529</v>
      </c>
      <c r="G15" s="24" t="s">
        <v>282</v>
      </c>
      <c r="H15" s="24"/>
      <c r="I15" s="24"/>
      <c r="J15" s="25"/>
    </row>
    <row r="16" spans="1:10" ht="48" customHeight="1" x14ac:dyDescent="0.25">
      <c r="A16" s="174" t="s">
        <v>530</v>
      </c>
      <c r="B16" s="37" t="s">
        <v>531</v>
      </c>
      <c r="C16" s="48">
        <v>2</v>
      </c>
      <c r="D16" s="46">
        <v>798</v>
      </c>
      <c r="E16" s="21"/>
      <c r="F16" s="72" t="s">
        <v>532</v>
      </c>
      <c r="G16" s="163" t="s">
        <v>30</v>
      </c>
      <c r="H16" s="24" t="s">
        <v>1293</v>
      </c>
      <c r="I16" s="24" t="s">
        <v>1296</v>
      </c>
      <c r="J16" s="25" t="s">
        <v>1298</v>
      </c>
    </row>
    <row r="17" spans="1:10" ht="173.25" x14ac:dyDescent="0.25">
      <c r="A17" s="174"/>
      <c r="B17" s="37" t="s">
        <v>533</v>
      </c>
      <c r="C17" s="49">
        <v>2</v>
      </c>
      <c r="D17" s="50">
        <v>320</v>
      </c>
      <c r="E17" s="27"/>
      <c r="F17" s="73" t="s">
        <v>534</v>
      </c>
      <c r="G17" s="172" t="s">
        <v>30</v>
      </c>
      <c r="H17" s="79" t="s">
        <v>1294</v>
      </c>
      <c r="I17" s="79" t="s">
        <v>1297</v>
      </c>
      <c r="J17" s="80" t="s">
        <v>1295</v>
      </c>
    </row>
  </sheetData>
  <mergeCells count="4">
    <mergeCell ref="A2:A4"/>
    <mergeCell ref="A5:A12"/>
    <mergeCell ref="A13:A15"/>
    <mergeCell ref="A16:A17"/>
  </mergeCells>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4"/>
  <sheetViews>
    <sheetView topLeftCell="A12" zoomScale="72" zoomScaleNormal="95" workbookViewId="0">
      <selection activeCell="M14" sqref="M14"/>
    </sheetView>
  </sheetViews>
  <sheetFormatPr defaultColWidth="8.85546875" defaultRowHeight="21" x14ac:dyDescent="0.35"/>
  <cols>
    <col min="1" max="1" width="31.5703125" style="64" customWidth="1"/>
    <col min="2" max="2" width="6.7109375" style="20" customWidth="1"/>
    <col min="3" max="3" width="15.140625" style="52" customWidth="1"/>
    <col min="4" max="5" width="8.85546875" style="52"/>
    <col min="6" max="6" width="80.28515625" style="20" customWidth="1"/>
    <col min="7" max="7" width="16.7109375" style="20" customWidth="1"/>
    <col min="8" max="8" width="31" style="20" customWidth="1"/>
    <col min="9" max="9" width="24" style="20" customWidth="1"/>
    <col min="10" max="10" width="35.140625" style="20" customWidth="1"/>
    <col min="11" max="1024" width="8.85546875" style="20"/>
  </cols>
  <sheetData>
    <row r="1" spans="1:10" s="74" customFormat="1" ht="42.75" thickBot="1" x14ac:dyDescent="0.25">
      <c r="A1" s="112" t="s">
        <v>24</v>
      </c>
      <c r="B1" s="113" t="s">
        <v>25</v>
      </c>
      <c r="C1" s="114" t="s">
        <v>26</v>
      </c>
      <c r="D1" s="114" t="s">
        <v>27</v>
      </c>
      <c r="E1" s="114" t="s">
        <v>28</v>
      </c>
      <c r="F1" s="115" t="s">
        <v>29</v>
      </c>
      <c r="G1" s="115" t="s">
        <v>30</v>
      </c>
      <c r="H1" s="115" t="s">
        <v>31</v>
      </c>
      <c r="I1" s="115" t="s">
        <v>32</v>
      </c>
      <c r="J1" s="115" t="s">
        <v>33</v>
      </c>
    </row>
    <row r="2" spans="1:10" ht="394.5" thickBot="1" x14ac:dyDescent="0.3">
      <c r="A2" s="175" t="s">
        <v>535</v>
      </c>
      <c r="B2" s="98" t="s">
        <v>304</v>
      </c>
      <c r="C2" s="116">
        <v>1</v>
      </c>
      <c r="D2" s="117">
        <v>532</v>
      </c>
      <c r="E2" s="118"/>
      <c r="F2" s="111" t="s">
        <v>536</v>
      </c>
      <c r="G2" s="110" t="s">
        <v>30</v>
      </c>
      <c r="H2" s="110" t="s">
        <v>537</v>
      </c>
      <c r="I2" s="110" t="s">
        <v>538</v>
      </c>
      <c r="J2" s="120" t="s">
        <v>539</v>
      </c>
    </row>
    <row r="3" spans="1:10" ht="315.75" thickBot="1" x14ac:dyDescent="0.3">
      <c r="A3" s="175"/>
      <c r="B3" s="98" t="s">
        <v>322</v>
      </c>
      <c r="C3" s="106">
        <v>1</v>
      </c>
      <c r="D3" s="102">
        <v>532</v>
      </c>
      <c r="E3" s="103"/>
      <c r="F3" s="104" t="s">
        <v>540</v>
      </c>
      <c r="G3" s="88" t="s">
        <v>282</v>
      </c>
      <c r="H3" s="88"/>
      <c r="I3" s="88" t="s">
        <v>541</v>
      </c>
      <c r="J3" s="87" t="s">
        <v>542</v>
      </c>
    </row>
    <row r="4" spans="1:10" ht="315.75" thickBot="1" x14ac:dyDescent="0.3">
      <c r="A4" s="175"/>
      <c r="B4" s="98" t="s">
        <v>543</v>
      </c>
      <c r="C4" s="101">
        <v>2</v>
      </c>
      <c r="D4" s="102">
        <v>778</v>
      </c>
      <c r="E4" s="103"/>
      <c r="F4" s="104" t="s">
        <v>544</v>
      </c>
      <c r="G4" s="88" t="s">
        <v>30</v>
      </c>
      <c r="H4" s="88" t="s">
        <v>545</v>
      </c>
      <c r="I4" s="88" t="s">
        <v>546</v>
      </c>
      <c r="J4" s="87" t="s">
        <v>547</v>
      </c>
    </row>
    <row r="5" spans="1:10" ht="300" thickBot="1" x14ac:dyDescent="0.3">
      <c r="A5" s="175"/>
      <c r="B5" s="98" t="s">
        <v>548</v>
      </c>
      <c r="C5" s="101">
        <v>2</v>
      </c>
      <c r="D5" s="102">
        <v>778</v>
      </c>
      <c r="E5" s="103"/>
      <c r="F5" s="104" t="s">
        <v>549</v>
      </c>
      <c r="G5" s="88" t="s">
        <v>30</v>
      </c>
      <c r="H5" s="88" t="s">
        <v>550</v>
      </c>
      <c r="I5" s="88" t="s">
        <v>551</v>
      </c>
      <c r="J5" s="87" t="s">
        <v>552</v>
      </c>
    </row>
    <row r="6" spans="1:10" ht="300" thickBot="1" x14ac:dyDescent="0.3">
      <c r="A6" s="175" t="s">
        <v>553</v>
      </c>
      <c r="B6" s="98" t="s">
        <v>333</v>
      </c>
      <c r="C6" s="101">
        <v>2</v>
      </c>
      <c r="D6" s="102">
        <v>778</v>
      </c>
      <c r="E6" s="103"/>
      <c r="F6" s="104" t="s">
        <v>554</v>
      </c>
      <c r="G6" s="164" t="s">
        <v>30</v>
      </c>
      <c r="H6" s="88" t="s">
        <v>1302</v>
      </c>
      <c r="I6" s="88" t="s">
        <v>555</v>
      </c>
      <c r="J6" s="87" t="s">
        <v>556</v>
      </c>
    </row>
    <row r="7" spans="1:10" ht="300" thickBot="1" x14ac:dyDescent="0.3">
      <c r="A7" s="175"/>
      <c r="B7" s="98" t="s">
        <v>557</v>
      </c>
      <c r="C7" s="101">
        <v>2</v>
      </c>
      <c r="D7" s="102">
        <v>285</v>
      </c>
      <c r="E7" s="103"/>
      <c r="F7" s="104" t="s">
        <v>558</v>
      </c>
      <c r="G7" s="88" t="s">
        <v>30</v>
      </c>
      <c r="H7" s="88" t="s">
        <v>559</v>
      </c>
      <c r="I7" s="88" t="s">
        <v>560</v>
      </c>
      <c r="J7" s="87" t="s">
        <v>561</v>
      </c>
    </row>
    <row r="8" spans="1:10" ht="300" thickBot="1" x14ac:dyDescent="0.3">
      <c r="A8" s="175" t="s">
        <v>562</v>
      </c>
      <c r="B8" s="98" t="s">
        <v>563</v>
      </c>
      <c r="C8" s="101">
        <v>2</v>
      </c>
      <c r="D8" s="102">
        <v>117</v>
      </c>
      <c r="E8" s="103"/>
      <c r="F8" s="104" t="s">
        <v>564</v>
      </c>
      <c r="G8" s="88" t="s">
        <v>282</v>
      </c>
      <c r="H8" s="88"/>
      <c r="I8" s="88" t="s">
        <v>565</v>
      </c>
      <c r="J8" s="87" t="s">
        <v>566</v>
      </c>
    </row>
    <row r="9" spans="1:10" ht="16.5" thickBot="1" x14ac:dyDescent="0.3">
      <c r="A9" s="175"/>
      <c r="B9" s="98" t="s">
        <v>567</v>
      </c>
      <c r="C9" s="101">
        <v>2</v>
      </c>
      <c r="D9" s="102">
        <v>117</v>
      </c>
      <c r="E9" s="103"/>
      <c r="F9" s="104" t="s">
        <v>568</v>
      </c>
      <c r="G9" s="88" t="s">
        <v>60</v>
      </c>
      <c r="H9" s="88"/>
      <c r="I9" s="88"/>
      <c r="J9" s="87"/>
    </row>
    <row r="10" spans="1:10" ht="268.5" thickBot="1" x14ac:dyDescent="0.3">
      <c r="A10" s="175"/>
      <c r="B10" s="98" t="s">
        <v>569</v>
      </c>
      <c r="C10" s="101">
        <v>2</v>
      </c>
      <c r="D10" s="102">
        <v>200</v>
      </c>
      <c r="E10" s="103"/>
      <c r="F10" s="104" t="s">
        <v>570</v>
      </c>
      <c r="G10" s="88" t="s">
        <v>282</v>
      </c>
      <c r="H10" s="88"/>
      <c r="I10" s="88" t="s">
        <v>571</v>
      </c>
      <c r="J10" s="87" t="s">
        <v>572</v>
      </c>
    </row>
    <row r="11" spans="1:10" ht="315.75" thickBot="1" x14ac:dyDescent="0.3">
      <c r="A11" s="175"/>
      <c r="B11" s="98" t="s">
        <v>573</v>
      </c>
      <c r="C11" s="101">
        <v>2</v>
      </c>
      <c r="D11" s="102"/>
      <c r="E11" s="103"/>
      <c r="F11" s="104" t="s">
        <v>574</v>
      </c>
      <c r="G11" s="88" t="s">
        <v>282</v>
      </c>
      <c r="H11" s="88"/>
      <c r="I11" s="88" t="s">
        <v>575</v>
      </c>
      <c r="J11" s="87" t="s">
        <v>576</v>
      </c>
    </row>
    <row r="12" spans="1:10" ht="394.5" thickBot="1" x14ac:dyDescent="0.3">
      <c r="A12" s="175" t="s">
        <v>577</v>
      </c>
      <c r="B12" s="98" t="s">
        <v>578</v>
      </c>
      <c r="C12" s="106">
        <v>1</v>
      </c>
      <c r="D12" s="102">
        <v>210</v>
      </c>
      <c r="E12" s="103"/>
      <c r="F12" s="104" t="s">
        <v>579</v>
      </c>
      <c r="G12" s="88" t="s">
        <v>30</v>
      </c>
      <c r="H12" s="88" t="s">
        <v>580</v>
      </c>
      <c r="I12" s="88" t="s">
        <v>581</v>
      </c>
      <c r="J12" s="87" t="s">
        <v>582</v>
      </c>
    </row>
    <row r="13" spans="1:10" ht="363" thickBot="1" x14ac:dyDescent="0.3">
      <c r="A13" s="175"/>
      <c r="B13" s="98" t="s">
        <v>583</v>
      </c>
      <c r="C13" s="101">
        <v>2</v>
      </c>
      <c r="D13" s="102">
        <v>544</v>
      </c>
      <c r="E13" s="103"/>
      <c r="F13" s="104" t="s">
        <v>584</v>
      </c>
      <c r="G13" s="88" t="s">
        <v>30</v>
      </c>
      <c r="H13" s="86" t="s">
        <v>585</v>
      </c>
      <c r="I13" s="88" t="s">
        <v>586</v>
      </c>
      <c r="J13" s="87" t="s">
        <v>587</v>
      </c>
    </row>
    <row r="14" spans="1:10" ht="363" thickBot="1" x14ac:dyDescent="0.3">
      <c r="A14" s="175"/>
      <c r="B14" s="98" t="s">
        <v>588</v>
      </c>
      <c r="C14" s="107">
        <v>2</v>
      </c>
      <c r="D14" s="108">
        <v>431</v>
      </c>
      <c r="E14" s="119"/>
      <c r="F14" s="109" t="s">
        <v>589</v>
      </c>
      <c r="G14" s="92" t="s">
        <v>282</v>
      </c>
      <c r="H14" s="92"/>
      <c r="I14" s="92" t="s">
        <v>590</v>
      </c>
      <c r="J14" s="94" t="s">
        <v>591</v>
      </c>
    </row>
  </sheetData>
  <mergeCells count="4">
    <mergeCell ref="A2:A5"/>
    <mergeCell ref="A6:A7"/>
    <mergeCell ref="A8:A11"/>
    <mergeCell ref="A12:A14"/>
  </mergeCells>
  <dataValidations count="1">
    <dataValidation type="list" operator="equal" showErrorMessage="1" sqref="G2:G14" xr:uid="{00000000-0002-0000-07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14"/>
  <sheetViews>
    <sheetView topLeftCell="C7" zoomScale="85" zoomScaleNormal="95" workbookViewId="0">
      <selection activeCell="Q4" sqref="Q4"/>
    </sheetView>
  </sheetViews>
  <sheetFormatPr defaultColWidth="8.85546875" defaultRowHeight="21" x14ac:dyDescent="0.35"/>
  <cols>
    <col min="1" max="1" width="37.28515625" style="64" customWidth="1"/>
    <col min="2" max="2" width="8.85546875" style="20"/>
    <col min="3" max="5" width="8.85546875" style="52"/>
    <col min="6" max="6" width="88.85546875" style="20" customWidth="1"/>
    <col min="7" max="7" width="8.85546875" style="20"/>
    <col min="8" max="8" width="28.28515625" style="20" customWidth="1"/>
    <col min="9" max="9" width="26.28515625" style="20" customWidth="1"/>
    <col min="10" max="10" width="37.7109375" style="20" customWidth="1"/>
    <col min="11" max="1024" width="8.85546875" style="20"/>
  </cols>
  <sheetData>
    <row r="1" spans="1:1024" s="36" customFormat="1" ht="42.75" thickBot="1" x14ac:dyDescent="0.25">
      <c r="A1" s="75" t="s">
        <v>24</v>
      </c>
      <c r="B1" s="53" t="s">
        <v>25</v>
      </c>
      <c r="C1" s="53" t="s">
        <v>26</v>
      </c>
      <c r="D1" s="53" t="s">
        <v>27</v>
      </c>
      <c r="E1" s="53" t="s">
        <v>28</v>
      </c>
      <c r="F1" s="53" t="s">
        <v>29</v>
      </c>
      <c r="G1" s="53" t="s">
        <v>30</v>
      </c>
      <c r="H1" s="53" t="s">
        <v>31</v>
      </c>
      <c r="I1" s="53" t="s">
        <v>32</v>
      </c>
      <c r="J1" s="53" t="s">
        <v>33</v>
      </c>
    </row>
    <row r="2" spans="1:1024" ht="409.6" thickBot="1" x14ac:dyDescent="0.3">
      <c r="A2" s="174" t="s">
        <v>666</v>
      </c>
      <c r="B2" s="37" t="s">
        <v>667</v>
      </c>
      <c r="C2" s="38">
        <v>1</v>
      </c>
      <c r="D2" s="40">
        <v>319</v>
      </c>
      <c r="E2" s="40"/>
      <c r="F2" s="83" t="s">
        <v>668</v>
      </c>
      <c r="G2" s="85" t="s">
        <v>30</v>
      </c>
      <c r="H2" s="85" t="s">
        <v>669</v>
      </c>
      <c r="I2" s="84" t="s">
        <v>670</v>
      </c>
      <c r="J2" s="89" t="s">
        <v>671</v>
      </c>
      <c r="AMI2"/>
      <c r="AMJ2"/>
    </row>
    <row r="3" spans="1:1024" ht="331.5" thickBot="1" x14ac:dyDescent="0.3">
      <c r="A3" s="174"/>
      <c r="B3" s="37" t="s">
        <v>672</v>
      </c>
      <c r="C3" s="45">
        <v>1</v>
      </c>
      <c r="D3" s="21">
        <v>326</v>
      </c>
      <c r="E3" s="21"/>
      <c r="F3" s="72" t="s">
        <v>673</v>
      </c>
      <c r="G3" s="85" t="s">
        <v>282</v>
      </c>
      <c r="H3" s="24"/>
      <c r="I3" s="84" t="s">
        <v>674</v>
      </c>
      <c r="J3" s="89" t="s">
        <v>675</v>
      </c>
    </row>
    <row r="4" spans="1:1024" ht="252.75" thickBot="1" x14ac:dyDescent="0.3">
      <c r="A4" s="174"/>
      <c r="B4" s="37" t="s">
        <v>676</v>
      </c>
      <c r="C4" s="45">
        <v>1</v>
      </c>
      <c r="D4" s="21">
        <v>326</v>
      </c>
      <c r="E4" s="21"/>
      <c r="F4" s="72" t="s">
        <v>677</v>
      </c>
      <c r="G4" s="88" t="s">
        <v>282</v>
      </c>
      <c r="H4" s="24"/>
      <c r="I4" s="88" t="s">
        <v>678</v>
      </c>
      <c r="J4" s="87" t="s">
        <v>679</v>
      </c>
    </row>
    <row r="5" spans="1:1024" ht="284.25" thickBot="1" x14ac:dyDescent="0.3">
      <c r="A5" s="174" t="s">
        <v>680</v>
      </c>
      <c r="B5" s="37" t="s">
        <v>681</v>
      </c>
      <c r="C5" s="48">
        <v>2</v>
      </c>
      <c r="D5" s="21">
        <v>295</v>
      </c>
      <c r="E5" s="21"/>
      <c r="F5" s="72" t="s">
        <v>682</v>
      </c>
      <c r="G5" s="88" t="s">
        <v>282</v>
      </c>
      <c r="H5" s="24"/>
      <c r="I5" s="88" t="s">
        <v>683</v>
      </c>
      <c r="J5" s="87" t="s">
        <v>684</v>
      </c>
    </row>
    <row r="6" spans="1:1024" ht="315.75" thickBot="1" x14ac:dyDescent="0.3">
      <c r="A6" s="174"/>
      <c r="B6" s="37" t="s">
        <v>685</v>
      </c>
      <c r="C6" s="48">
        <v>2</v>
      </c>
      <c r="D6" s="21">
        <v>319</v>
      </c>
      <c r="E6" s="21"/>
      <c r="F6" s="72" t="s">
        <v>686</v>
      </c>
      <c r="G6" s="88" t="s">
        <v>30</v>
      </c>
      <c r="H6" s="88" t="s">
        <v>687</v>
      </c>
      <c r="I6" s="88" t="s">
        <v>688</v>
      </c>
      <c r="J6" s="87" t="s">
        <v>689</v>
      </c>
    </row>
    <row r="7" spans="1:1024" ht="268.5" thickBot="1" x14ac:dyDescent="0.3">
      <c r="A7" s="174"/>
      <c r="B7" s="37" t="s">
        <v>690</v>
      </c>
      <c r="C7" s="48">
        <v>2</v>
      </c>
      <c r="D7" s="21">
        <v>287</v>
      </c>
      <c r="E7" s="21"/>
      <c r="F7" s="72" t="s">
        <v>691</v>
      </c>
      <c r="G7" s="88" t="s">
        <v>30</v>
      </c>
      <c r="H7" s="24" t="s">
        <v>692</v>
      </c>
      <c r="I7" s="88" t="s">
        <v>693</v>
      </c>
      <c r="J7" s="87" t="s">
        <v>694</v>
      </c>
    </row>
    <row r="8" spans="1:1024" ht="221.25" thickBot="1" x14ac:dyDescent="0.3">
      <c r="A8" s="174"/>
      <c r="B8" s="37" t="s">
        <v>695</v>
      </c>
      <c r="C8" s="48">
        <v>2</v>
      </c>
      <c r="D8" s="21">
        <v>299</v>
      </c>
      <c r="E8" s="21"/>
      <c r="F8" s="72" t="s">
        <v>696</v>
      </c>
      <c r="G8" s="88" t="s">
        <v>282</v>
      </c>
      <c r="H8" s="24"/>
      <c r="I8" s="88" t="s">
        <v>697</v>
      </c>
      <c r="J8" s="87" t="s">
        <v>698</v>
      </c>
    </row>
    <row r="9" spans="1:1024" ht="221.25" thickBot="1" x14ac:dyDescent="0.3">
      <c r="A9" s="174"/>
      <c r="B9" s="37" t="s">
        <v>699</v>
      </c>
      <c r="C9" s="159">
        <v>3</v>
      </c>
      <c r="D9" s="27">
        <v>544</v>
      </c>
      <c r="E9" s="27"/>
      <c r="F9" s="73" t="s">
        <v>700</v>
      </c>
      <c r="G9" s="92" t="s">
        <v>30</v>
      </c>
      <c r="H9" s="92" t="s">
        <v>701</v>
      </c>
      <c r="I9" s="92" t="s">
        <v>702</v>
      </c>
      <c r="J9" s="94" t="s">
        <v>703</v>
      </c>
    </row>
    <row r="10" spans="1:1024" x14ac:dyDescent="0.35">
      <c r="H10" s="93"/>
    </row>
    <row r="11" spans="1:1024" x14ac:dyDescent="0.35">
      <c r="H11" s="93"/>
    </row>
    <row r="12" spans="1:1024" x14ac:dyDescent="0.35">
      <c r="H12" s="93"/>
    </row>
    <row r="13" spans="1:1024" x14ac:dyDescent="0.35">
      <c r="H13" s="93"/>
    </row>
    <row r="14" spans="1:1024" x14ac:dyDescent="0.35">
      <c r="H14" s="93"/>
    </row>
  </sheetData>
  <mergeCells count="2">
    <mergeCell ref="A2:A4"/>
    <mergeCell ref="A5:A9"/>
  </mergeCells>
  <dataValidations count="1">
    <dataValidation type="list" operator="equal" showErrorMessage="1" sqref="G2:G9" xr:uid="{00000000-0002-0000-09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r:id="rId1"/>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8"/>
  <sheetViews>
    <sheetView topLeftCell="A5" zoomScaleNormal="100" workbookViewId="0">
      <selection activeCell="K18" sqref="K18"/>
    </sheetView>
  </sheetViews>
  <sheetFormatPr defaultColWidth="8.85546875" defaultRowHeight="21" x14ac:dyDescent="0.35"/>
  <cols>
    <col min="1" max="1" width="30.7109375" style="64" customWidth="1"/>
    <col min="2" max="2" width="8.85546875" style="20"/>
    <col min="3" max="5" width="8.85546875" style="52"/>
    <col min="6" max="6" width="93" style="20" customWidth="1"/>
    <col min="7" max="7" width="12.42578125" style="20" customWidth="1"/>
    <col min="8" max="8" width="35.85546875" style="20" customWidth="1"/>
    <col min="9" max="9" width="17.42578125" style="20" customWidth="1"/>
    <col min="10" max="10" width="30.85546875" style="20" customWidth="1"/>
    <col min="11" max="1024" width="8.85546875" style="20"/>
  </cols>
  <sheetData>
    <row r="1" spans="1:10" s="36" customFormat="1" ht="42.75" thickBot="1" x14ac:dyDescent="0.25">
      <c r="A1" s="95" t="s">
        <v>24</v>
      </c>
      <c r="B1" s="96" t="s">
        <v>25</v>
      </c>
      <c r="C1" s="97" t="s">
        <v>26</v>
      </c>
      <c r="D1" s="97" t="s">
        <v>27</v>
      </c>
      <c r="E1" s="97" t="s">
        <v>28</v>
      </c>
      <c r="F1" s="96" t="s">
        <v>29</v>
      </c>
      <c r="G1" s="96" t="s">
        <v>30</v>
      </c>
      <c r="H1" s="96" t="s">
        <v>31</v>
      </c>
      <c r="I1" s="96" t="s">
        <v>32</v>
      </c>
      <c r="J1" s="96" t="s">
        <v>33</v>
      </c>
    </row>
    <row r="2" spans="1:10" ht="409.6" thickBot="1" x14ac:dyDescent="0.3">
      <c r="A2" s="175" t="s">
        <v>592</v>
      </c>
      <c r="B2" s="98" t="s">
        <v>593</v>
      </c>
      <c r="C2" s="99">
        <v>2</v>
      </c>
      <c r="D2" s="100">
        <v>524</v>
      </c>
      <c r="E2" s="82"/>
      <c r="F2" s="83" t="s">
        <v>594</v>
      </c>
      <c r="G2" s="81" t="s">
        <v>282</v>
      </c>
      <c r="H2" s="81"/>
      <c r="I2" s="83" t="s">
        <v>595</v>
      </c>
      <c r="J2" s="84" t="s">
        <v>596</v>
      </c>
    </row>
    <row r="3" spans="1:10" ht="409.6" thickBot="1" x14ac:dyDescent="0.3">
      <c r="A3" s="175"/>
      <c r="B3" s="98" t="s">
        <v>597</v>
      </c>
      <c r="C3" s="101">
        <v>2</v>
      </c>
      <c r="D3" s="102">
        <v>524</v>
      </c>
      <c r="E3" s="103"/>
      <c r="F3" s="104" t="s">
        <v>598</v>
      </c>
      <c r="G3" s="90" t="s">
        <v>282</v>
      </c>
      <c r="H3" s="88"/>
      <c r="I3" s="88" t="s">
        <v>599</v>
      </c>
      <c r="J3" s="87" t="s">
        <v>600</v>
      </c>
    </row>
    <row r="4" spans="1:10" ht="409.6" thickBot="1" x14ac:dyDescent="0.3">
      <c r="A4" s="175"/>
      <c r="B4" s="98" t="s">
        <v>601</v>
      </c>
      <c r="C4" s="101">
        <v>2</v>
      </c>
      <c r="D4" s="102">
        <v>233</v>
      </c>
      <c r="E4" s="103"/>
      <c r="F4" s="104" t="s">
        <v>602</v>
      </c>
      <c r="G4" s="90" t="s">
        <v>30</v>
      </c>
      <c r="H4" s="88" t="s">
        <v>603</v>
      </c>
      <c r="I4" s="88" t="s">
        <v>604</v>
      </c>
      <c r="J4" s="87" t="s">
        <v>605</v>
      </c>
    </row>
    <row r="5" spans="1:10" ht="409.6" thickBot="1" x14ac:dyDescent="0.3">
      <c r="A5" s="175"/>
      <c r="B5" s="98" t="s">
        <v>606</v>
      </c>
      <c r="C5" s="101">
        <v>2</v>
      </c>
      <c r="D5" s="102">
        <v>770</v>
      </c>
      <c r="E5" s="103"/>
      <c r="F5" s="104" t="s">
        <v>607</v>
      </c>
      <c r="G5" s="90" t="s">
        <v>282</v>
      </c>
      <c r="H5" s="90"/>
      <c r="I5" s="88" t="s">
        <v>608</v>
      </c>
      <c r="J5" s="87" t="s">
        <v>609</v>
      </c>
    </row>
    <row r="6" spans="1:10" ht="409.6" thickBot="1" x14ac:dyDescent="0.3">
      <c r="A6" s="175"/>
      <c r="B6" s="98" t="s">
        <v>610</v>
      </c>
      <c r="C6" s="105">
        <v>3</v>
      </c>
      <c r="D6" s="102">
        <v>19</v>
      </c>
      <c r="E6" s="103"/>
      <c r="F6" s="104" t="s">
        <v>611</v>
      </c>
      <c r="G6" s="90" t="s">
        <v>282</v>
      </c>
      <c r="H6" s="90"/>
      <c r="I6" s="88" t="s">
        <v>612</v>
      </c>
      <c r="J6" s="87" t="s">
        <v>613</v>
      </c>
    </row>
    <row r="7" spans="1:10" ht="331.5" thickBot="1" x14ac:dyDescent="0.3">
      <c r="A7" s="175"/>
      <c r="B7" s="98" t="s">
        <v>614</v>
      </c>
      <c r="C7" s="105">
        <v>3</v>
      </c>
      <c r="D7" s="102">
        <v>19</v>
      </c>
      <c r="E7" s="103"/>
      <c r="F7" s="104" t="s">
        <v>615</v>
      </c>
      <c r="G7" s="90" t="s">
        <v>282</v>
      </c>
      <c r="H7" s="90"/>
      <c r="I7" s="88" t="s">
        <v>616</v>
      </c>
      <c r="J7" s="87" t="s">
        <v>617</v>
      </c>
    </row>
    <row r="8" spans="1:10" ht="409.6" thickBot="1" x14ac:dyDescent="0.3">
      <c r="A8" s="175" t="s">
        <v>618</v>
      </c>
      <c r="B8" s="98" t="s">
        <v>619</v>
      </c>
      <c r="C8" s="106">
        <v>1</v>
      </c>
      <c r="D8" s="102">
        <v>525</v>
      </c>
      <c r="E8" s="103"/>
      <c r="F8" s="104" t="s">
        <v>620</v>
      </c>
      <c r="G8" s="90" t="s">
        <v>282</v>
      </c>
      <c r="H8" s="90"/>
      <c r="I8" s="88" t="s">
        <v>621</v>
      </c>
      <c r="J8" s="87" t="s">
        <v>622</v>
      </c>
    </row>
    <row r="9" spans="1:10" ht="378.75" thickBot="1" x14ac:dyDescent="0.3">
      <c r="A9" s="175"/>
      <c r="B9" s="98" t="s">
        <v>623</v>
      </c>
      <c r="C9" s="106">
        <v>1</v>
      </c>
      <c r="D9" s="102">
        <v>922</v>
      </c>
      <c r="E9" s="103"/>
      <c r="F9" s="104" t="s">
        <v>624</v>
      </c>
      <c r="G9" s="90" t="s">
        <v>30</v>
      </c>
      <c r="H9" s="88" t="s">
        <v>625</v>
      </c>
      <c r="I9" s="88" t="s">
        <v>626</v>
      </c>
      <c r="J9" s="87" t="s">
        <v>627</v>
      </c>
    </row>
    <row r="10" spans="1:10" ht="409.6" thickBot="1" x14ac:dyDescent="0.3">
      <c r="A10" s="175"/>
      <c r="B10" s="98" t="s">
        <v>628</v>
      </c>
      <c r="C10" s="106">
        <v>1</v>
      </c>
      <c r="D10" s="102">
        <v>922</v>
      </c>
      <c r="E10" s="103"/>
      <c r="F10" s="104" t="s">
        <v>629</v>
      </c>
      <c r="G10" s="90" t="s">
        <v>282</v>
      </c>
      <c r="H10" s="90"/>
      <c r="I10" s="88" t="s">
        <v>630</v>
      </c>
      <c r="J10" s="87" t="s">
        <v>631</v>
      </c>
    </row>
    <row r="11" spans="1:10" ht="409.6" thickBot="1" x14ac:dyDescent="0.3">
      <c r="A11" s="175" t="s">
        <v>632</v>
      </c>
      <c r="B11" s="98" t="s">
        <v>633</v>
      </c>
      <c r="C11" s="106">
        <v>1</v>
      </c>
      <c r="D11" s="102">
        <v>319</v>
      </c>
      <c r="E11" s="103"/>
      <c r="F11" s="104" t="s">
        <v>634</v>
      </c>
      <c r="G11" s="90" t="s">
        <v>30</v>
      </c>
      <c r="H11" s="88" t="s">
        <v>635</v>
      </c>
      <c r="I11" s="88" t="s">
        <v>636</v>
      </c>
      <c r="J11" s="87" t="s">
        <v>637</v>
      </c>
    </row>
    <row r="12" spans="1:10" ht="300" thickBot="1" x14ac:dyDescent="0.3">
      <c r="A12" s="175"/>
      <c r="B12" s="98" t="s">
        <v>638</v>
      </c>
      <c r="C12" s="106">
        <v>1</v>
      </c>
      <c r="D12" s="102">
        <v>212</v>
      </c>
      <c r="E12" s="103"/>
      <c r="F12" s="104" t="s">
        <v>639</v>
      </c>
      <c r="G12" s="90" t="s">
        <v>282</v>
      </c>
      <c r="H12" s="88"/>
      <c r="I12" s="88" t="s">
        <v>640</v>
      </c>
      <c r="J12" s="87" t="s">
        <v>641</v>
      </c>
    </row>
    <row r="13" spans="1:10" ht="347.25" thickBot="1" x14ac:dyDescent="0.3">
      <c r="A13" s="175"/>
      <c r="B13" s="98" t="s">
        <v>642</v>
      </c>
      <c r="C13" s="106">
        <v>1</v>
      </c>
      <c r="D13" s="102">
        <v>285</v>
      </c>
      <c r="E13" s="103"/>
      <c r="F13" s="104" t="s">
        <v>643</v>
      </c>
      <c r="G13" s="90" t="s">
        <v>282</v>
      </c>
      <c r="H13" s="90"/>
      <c r="I13" s="88" t="s">
        <v>644</v>
      </c>
      <c r="J13" s="87" t="s">
        <v>645</v>
      </c>
    </row>
    <row r="14" spans="1:10" ht="394.5" thickBot="1" x14ac:dyDescent="0.3">
      <c r="A14" s="175"/>
      <c r="B14" s="98" t="s">
        <v>646</v>
      </c>
      <c r="C14" s="106">
        <v>1</v>
      </c>
      <c r="D14" s="102">
        <v>200</v>
      </c>
      <c r="E14" s="103"/>
      <c r="F14" s="104" t="s">
        <v>647</v>
      </c>
      <c r="G14" s="90" t="s">
        <v>282</v>
      </c>
      <c r="H14" s="90"/>
      <c r="I14" s="88" t="s">
        <v>648</v>
      </c>
      <c r="J14" s="87" t="s">
        <v>649</v>
      </c>
    </row>
    <row r="15" spans="1:10" ht="363" thickBot="1" x14ac:dyDescent="0.3">
      <c r="A15" s="175"/>
      <c r="B15" s="98" t="s">
        <v>650</v>
      </c>
      <c r="C15" s="101">
        <v>2</v>
      </c>
      <c r="D15" s="102">
        <v>532</v>
      </c>
      <c r="E15" s="103"/>
      <c r="F15" s="104" t="s">
        <v>651</v>
      </c>
      <c r="G15" s="90" t="s">
        <v>282</v>
      </c>
      <c r="H15" s="90"/>
      <c r="I15" s="88" t="s">
        <v>652</v>
      </c>
      <c r="J15" s="87" t="s">
        <v>653</v>
      </c>
    </row>
    <row r="16" spans="1:10" ht="331.5" thickBot="1" x14ac:dyDescent="0.3">
      <c r="A16" s="175"/>
      <c r="B16" s="98" t="s">
        <v>654</v>
      </c>
      <c r="C16" s="101">
        <v>2</v>
      </c>
      <c r="D16" s="102">
        <v>226</v>
      </c>
      <c r="E16" s="102"/>
      <c r="F16" s="104" t="s">
        <v>655</v>
      </c>
      <c r="G16" s="90" t="s">
        <v>282</v>
      </c>
      <c r="H16" s="90"/>
      <c r="I16" s="88" t="s">
        <v>656</v>
      </c>
      <c r="J16" s="87" t="s">
        <v>657</v>
      </c>
    </row>
    <row r="17" spans="1:10" ht="409.6" thickBot="1" x14ac:dyDescent="0.3">
      <c r="A17" s="175"/>
      <c r="B17" s="98" t="s">
        <v>658</v>
      </c>
      <c r="C17" s="101">
        <v>2</v>
      </c>
      <c r="D17" s="102">
        <v>327</v>
      </c>
      <c r="E17" s="102"/>
      <c r="F17" s="104" t="s">
        <v>659</v>
      </c>
      <c r="G17" s="90" t="s">
        <v>282</v>
      </c>
      <c r="H17" s="90"/>
      <c r="I17" s="88" t="s">
        <v>660</v>
      </c>
      <c r="J17" s="87" t="s">
        <v>661</v>
      </c>
    </row>
    <row r="18" spans="1:10" ht="409.6" thickBot="1" x14ac:dyDescent="0.3">
      <c r="A18" s="175"/>
      <c r="B18" s="98" t="s">
        <v>662</v>
      </c>
      <c r="C18" s="107">
        <v>2</v>
      </c>
      <c r="D18" s="108">
        <v>285</v>
      </c>
      <c r="E18" s="108"/>
      <c r="F18" s="109" t="s">
        <v>663</v>
      </c>
      <c r="G18" s="91" t="s">
        <v>282</v>
      </c>
      <c r="H18" s="91"/>
      <c r="I18" s="92" t="s">
        <v>664</v>
      </c>
      <c r="J18" s="94" t="s">
        <v>665</v>
      </c>
    </row>
  </sheetData>
  <mergeCells count="3">
    <mergeCell ref="A2:A7"/>
    <mergeCell ref="A8:A10"/>
    <mergeCell ref="A11:A18"/>
  </mergeCells>
  <dataValidations count="1">
    <dataValidation type="list" operator="equal" showErrorMessage="1" sqref="G2:G18" xr:uid="{00000000-0002-0000-08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26"/>
  <sheetViews>
    <sheetView topLeftCell="B26" zoomScale="120" zoomScaleNormal="120" workbookViewId="0">
      <selection activeCell="H2" sqref="H2"/>
    </sheetView>
  </sheetViews>
  <sheetFormatPr defaultColWidth="8.85546875" defaultRowHeight="21" x14ac:dyDescent="0.35"/>
  <cols>
    <col min="1" max="1" width="40.85546875" style="64" customWidth="1"/>
    <col min="2" max="2" width="14.140625" style="20" customWidth="1"/>
    <col min="3" max="5" width="8.85546875" style="20"/>
    <col min="6" max="6" width="88.7109375" style="20" customWidth="1"/>
    <col min="7" max="7" width="17.140625" style="20" customWidth="1"/>
    <col min="8" max="8" width="35.28515625" style="20" customWidth="1"/>
    <col min="9" max="9" width="20.42578125" style="20" customWidth="1"/>
    <col min="10" max="10" width="33.42578125" style="20" customWidth="1"/>
    <col min="11" max="1024" width="8.85546875" style="20"/>
  </cols>
  <sheetData>
    <row r="1" spans="1:10" s="36" customFormat="1" ht="42.75" thickBot="1" x14ac:dyDescent="0.25">
      <c r="A1" s="121" t="s">
        <v>24</v>
      </c>
      <c r="B1" s="115" t="s">
        <v>25</v>
      </c>
      <c r="C1" s="114" t="s">
        <v>26</v>
      </c>
      <c r="D1" s="114" t="s">
        <v>27</v>
      </c>
      <c r="E1" s="114" t="s">
        <v>28</v>
      </c>
      <c r="F1" s="115" t="s">
        <v>29</v>
      </c>
      <c r="G1" s="115" t="s">
        <v>30</v>
      </c>
      <c r="H1" s="115" t="s">
        <v>31</v>
      </c>
      <c r="I1" s="115" t="s">
        <v>32</v>
      </c>
      <c r="J1" s="115" t="s">
        <v>33</v>
      </c>
    </row>
    <row r="2" spans="1:10" ht="394.5" thickBot="1" x14ac:dyDescent="0.3">
      <c r="A2" s="176" t="s">
        <v>814</v>
      </c>
      <c r="B2" s="122" t="s">
        <v>815</v>
      </c>
      <c r="C2" s="123">
        <v>2</v>
      </c>
      <c r="D2" s="124"/>
      <c r="E2" s="125"/>
      <c r="F2" s="126" t="s">
        <v>816</v>
      </c>
      <c r="G2" s="127" t="s">
        <v>30</v>
      </c>
      <c r="H2" s="127"/>
      <c r="I2" s="141" t="s">
        <v>817</v>
      </c>
      <c r="J2" s="142" t="s">
        <v>818</v>
      </c>
    </row>
    <row r="3" spans="1:10" ht="409.6" thickBot="1" x14ac:dyDescent="0.3">
      <c r="A3" s="176"/>
      <c r="B3" s="98" t="s">
        <v>819</v>
      </c>
      <c r="C3" s="128">
        <v>2</v>
      </c>
      <c r="D3" s="129">
        <v>120</v>
      </c>
      <c r="E3" s="130"/>
      <c r="F3" s="131" t="s">
        <v>820</v>
      </c>
      <c r="G3" s="132" t="s">
        <v>30</v>
      </c>
      <c r="H3" s="143" t="s">
        <v>821</v>
      </c>
      <c r="I3" s="143" t="s">
        <v>822</v>
      </c>
      <c r="J3" s="144" t="s">
        <v>823</v>
      </c>
    </row>
    <row r="4" spans="1:10" ht="409.6" thickBot="1" x14ac:dyDescent="0.3">
      <c r="A4" s="176"/>
      <c r="B4" s="98" t="s">
        <v>824</v>
      </c>
      <c r="C4" s="128">
        <v>2</v>
      </c>
      <c r="D4" s="129">
        <v>16</v>
      </c>
      <c r="E4" s="130"/>
      <c r="F4" s="131" t="s">
        <v>825</v>
      </c>
      <c r="G4" s="132" t="s">
        <v>30</v>
      </c>
      <c r="H4" s="143" t="s">
        <v>826</v>
      </c>
      <c r="I4" s="143" t="s">
        <v>827</v>
      </c>
      <c r="J4" s="144" t="s">
        <v>828</v>
      </c>
    </row>
    <row r="5" spans="1:10" ht="315.75" thickBot="1" x14ac:dyDescent="0.3">
      <c r="A5" s="176"/>
      <c r="B5" s="98" t="s">
        <v>829</v>
      </c>
      <c r="C5" s="128">
        <v>2</v>
      </c>
      <c r="D5" s="129"/>
      <c r="E5" s="130"/>
      <c r="F5" s="131" t="s">
        <v>830</v>
      </c>
      <c r="G5" s="132" t="s">
        <v>282</v>
      </c>
      <c r="H5" s="132"/>
      <c r="I5" s="143" t="s">
        <v>831</v>
      </c>
      <c r="J5" s="144" t="s">
        <v>832</v>
      </c>
    </row>
    <row r="6" spans="1:10" ht="300" thickBot="1" x14ac:dyDescent="0.3">
      <c r="A6" s="176"/>
      <c r="B6" s="98" t="s">
        <v>833</v>
      </c>
      <c r="C6" s="134">
        <v>3</v>
      </c>
      <c r="D6" s="129"/>
      <c r="E6" s="130"/>
      <c r="F6" s="131" t="s">
        <v>834</v>
      </c>
      <c r="G6" s="132" t="s">
        <v>282</v>
      </c>
      <c r="H6" s="132"/>
      <c r="I6" s="143" t="s">
        <v>835</v>
      </c>
      <c r="J6" s="144" t="s">
        <v>836</v>
      </c>
    </row>
    <row r="7" spans="1:10" ht="394.5" thickBot="1" x14ac:dyDescent="0.3">
      <c r="A7" s="175" t="s">
        <v>837</v>
      </c>
      <c r="B7" s="98" t="s">
        <v>838</v>
      </c>
      <c r="C7" s="135">
        <v>1</v>
      </c>
      <c r="D7" s="129">
        <v>1026</v>
      </c>
      <c r="E7" s="130"/>
      <c r="F7" s="131" t="s">
        <v>839</v>
      </c>
      <c r="G7" s="132" t="s">
        <v>30</v>
      </c>
      <c r="H7" s="143" t="s">
        <v>840</v>
      </c>
      <c r="I7" s="143" t="s">
        <v>841</v>
      </c>
      <c r="J7" s="144" t="s">
        <v>842</v>
      </c>
    </row>
    <row r="8" spans="1:10" ht="409.6" thickBot="1" x14ac:dyDescent="0.3">
      <c r="A8" s="175"/>
      <c r="B8" s="98" t="s">
        <v>843</v>
      </c>
      <c r="C8" s="135">
        <v>1</v>
      </c>
      <c r="D8" s="129">
        <v>1002</v>
      </c>
      <c r="E8" s="130"/>
      <c r="F8" s="131" t="s">
        <v>844</v>
      </c>
      <c r="G8" s="132" t="s">
        <v>30</v>
      </c>
      <c r="H8" s="132"/>
      <c r="I8" s="143" t="s">
        <v>845</v>
      </c>
      <c r="J8" s="144" t="s">
        <v>846</v>
      </c>
    </row>
    <row r="9" spans="1:10" ht="268.5" thickBot="1" x14ac:dyDescent="0.3">
      <c r="A9" s="175"/>
      <c r="B9" s="98" t="s">
        <v>847</v>
      </c>
      <c r="C9" s="135">
        <v>1</v>
      </c>
      <c r="D9" s="129">
        <v>829</v>
      </c>
      <c r="E9" s="130"/>
      <c r="F9" s="131" t="s">
        <v>848</v>
      </c>
      <c r="G9" s="132" t="s">
        <v>282</v>
      </c>
      <c r="H9" s="132"/>
      <c r="I9" s="143" t="s">
        <v>849</v>
      </c>
      <c r="J9" s="144" t="s">
        <v>850</v>
      </c>
    </row>
    <row r="10" spans="1:10" ht="409.6" thickBot="1" x14ac:dyDescent="0.3">
      <c r="A10" s="175"/>
      <c r="B10" s="98" t="s">
        <v>851</v>
      </c>
      <c r="C10" s="128">
        <v>2</v>
      </c>
      <c r="D10" s="129">
        <v>829</v>
      </c>
      <c r="E10" s="130"/>
      <c r="F10" s="131" t="s">
        <v>852</v>
      </c>
      <c r="G10" s="132" t="s">
        <v>30</v>
      </c>
      <c r="H10" s="143" t="s">
        <v>853</v>
      </c>
      <c r="I10" s="143" t="s">
        <v>854</v>
      </c>
      <c r="J10" s="144" t="s">
        <v>855</v>
      </c>
    </row>
    <row r="11" spans="1:10" ht="363" thickBot="1" x14ac:dyDescent="0.3">
      <c r="A11" s="175"/>
      <c r="B11" s="98" t="s">
        <v>856</v>
      </c>
      <c r="C11" s="128">
        <v>2</v>
      </c>
      <c r="D11" s="129"/>
      <c r="E11" s="130"/>
      <c r="F11" s="131" t="s">
        <v>857</v>
      </c>
      <c r="G11" s="132" t="s">
        <v>282</v>
      </c>
      <c r="H11" s="132"/>
      <c r="I11" s="143" t="s">
        <v>858</v>
      </c>
      <c r="J11" s="144" t="s">
        <v>859</v>
      </c>
    </row>
    <row r="12" spans="1:10" ht="378.75" thickBot="1" x14ac:dyDescent="0.3">
      <c r="A12" s="175"/>
      <c r="B12" s="98" t="s">
        <v>860</v>
      </c>
      <c r="C12" s="128">
        <v>2</v>
      </c>
      <c r="D12" s="129">
        <v>265</v>
      </c>
      <c r="E12" s="130"/>
      <c r="F12" s="131" t="s">
        <v>861</v>
      </c>
      <c r="G12" s="132" t="s">
        <v>282</v>
      </c>
      <c r="H12" s="132"/>
      <c r="I12" s="143" t="s">
        <v>862</v>
      </c>
      <c r="J12" s="144" t="s">
        <v>863</v>
      </c>
    </row>
    <row r="13" spans="1:10" ht="16.5" thickBot="1" x14ac:dyDescent="0.3">
      <c r="A13" s="175" t="s">
        <v>864</v>
      </c>
      <c r="B13" s="98" t="s">
        <v>865</v>
      </c>
      <c r="C13" s="135">
        <v>1</v>
      </c>
      <c r="D13" s="129">
        <v>209</v>
      </c>
      <c r="E13" s="130"/>
      <c r="F13" s="131" t="s">
        <v>866</v>
      </c>
      <c r="G13" s="132" t="s">
        <v>60</v>
      </c>
      <c r="H13" s="132"/>
      <c r="I13" s="132"/>
      <c r="J13" s="133"/>
    </row>
    <row r="14" spans="1:10" ht="363" thickBot="1" x14ac:dyDescent="0.3">
      <c r="A14" s="175"/>
      <c r="B14" s="98" t="s">
        <v>867</v>
      </c>
      <c r="C14" s="135">
        <v>1</v>
      </c>
      <c r="D14" s="129">
        <v>497</v>
      </c>
      <c r="E14" s="130"/>
      <c r="F14" s="131" t="s">
        <v>868</v>
      </c>
      <c r="G14" s="132" t="s">
        <v>30</v>
      </c>
      <c r="H14" s="143" t="s">
        <v>869</v>
      </c>
      <c r="I14" s="143" t="s">
        <v>870</v>
      </c>
      <c r="J14" s="144" t="s">
        <v>871</v>
      </c>
    </row>
    <row r="15" spans="1:10" ht="331.5" thickBot="1" x14ac:dyDescent="0.3">
      <c r="A15" s="175"/>
      <c r="B15" s="98" t="s">
        <v>872</v>
      </c>
      <c r="C15" s="135">
        <v>1</v>
      </c>
      <c r="D15" s="129">
        <v>200</v>
      </c>
      <c r="E15" s="130"/>
      <c r="F15" s="131" t="s">
        <v>873</v>
      </c>
      <c r="G15" s="132" t="s">
        <v>282</v>
      </c>
      <c r="H15" s="132"/>
      <c r="I15" s="143" t="s">
        <v>874</v>
      </c>
      <c r="J15" s="144" t="s">
        <v>875</v>
      </c>
    </row>
    <row r="16" spans="1:10" ht="409.6" thickBot="1" x14ac:dyDescent="0.3">
      <c r="A16" s="175" t="s">
        <v>876</v>
      </c>
      <c r="B16" s="98" t="s">
        <v>877</v>
      </c>
      <c r="C16" s="135">
        <v>1</v>
      </c>
      <c r="D16" s="129">
        <v>173</v>
      </c>
      <c r="E16" s="130"/>
      <c r="F16" s="131" t="s">
        <v>878</v>
      </c>
      <c r="G16" s="132" t="s">
        <v>30</v>
      </c>
      <c r="H16" s="143" t="s">
        <v>879</v>
      </c>
      <c r="I16" s="143" t="s">
        <v>880</v>
      </c>
      <c r="J16" s="144" t="s">
        <v>881</v>
      </c>
    </row>
    <row r="17" spans="1:10" ht="363" thickBot="1" x14ac:dyDescent="0.3">
      <c r="A17" s="175"/>
      <c r="B17" s="98" t="s">
        <v>882</v>
      </c>
      <c r="C17" s="135">
        <v>1</v>
      </c>
      <c r="D17" s="129">
        <v>116</v>
      </c>
      <c r="E17" s="130"/>
      <c r="F17" s="131" t="s">
        <v>883</v>
      </c>
      <c r="G17" s="132" t="s">
        <v>282</v>
      </c>
      <c r="H17" s="132"/>
      <c r="I17" s="143" t="s">
        <v>884</v>
      </c>
      <c r="J17" s="144" t="s">
        <v>885</v>
      </c>
    </row>
    <row r="18" spans="1:10" ht="300" thickBot="1" x14ac:dyDescent="0.3">
      <c r="A18" s="175"/>
      <c r="B18" s="98" t="s">
        <v>886</v>
      </c>
      <c r="C18" s="135">
        <v>1</v>
      </c>
      <c r="D18" s="129">
        <v>1021</v>
      </c>
      <c r="E18" s="130"/>
      <c r="F18" s="131" t="s">
        <v>887</v>
      </c>
      <c r="G18" s="132" t="s">
        <v>282</v>
      </c>
      <c r="H18" s="132"/>
      <c r="I18" s="143" t="s">
        <v>888</v>
      </c>
      <c r="J18" s="144" t="s">
        <v>889</v>
      </c>
    </row>
    <row r="19" spans="1:10" ht="268.5" thickBot="1" x14ac:dyDescent="0.3">
      <c r="A19" s="175"/>
      <c r="B19" s="98" t="s">
        <v>890</v>
      </c>
      <c r="C19" s="135">
        <v>1</v>
      </c>
      <c r="D19" s="129">
        <v>116</v>
      </c>
      <c r="E19" s="130"/>
      <c r="F19" s="131" t="s">
        <v>891</v>
      </c>
      <c r="G19" s="132" t="s">
        <v>282</v>
      </c>
      <c r="H19" s="132"/>
      <c r="I19" s="143" t="s">
        <v>892</v>
      </c>
      <c r="J19" s="144" t="s">
        <v>893</v>
      </c>
    </row>
    <row r="20" spans="1:10" ht="363" thickBot="1" x14ac:dyDescent="0.3">
      <c r="A20" s="175"/>
      <c r="B20" s="98" t="s">
        <v>894</v>
      </c>
      <c r="C20" s="135">
        <v>1</v>
      </c>
      <c r="D20" s="129">
        <v>523</v>
      </c>
      <c r="E20" s="130"/>
      <c r="F20" s="131" t="s">
        <v>895</v>
      </c>
      <c r="G20" s="132" t="s">
        <v>282</v>
      </c>
      <c r="H20" s="143" t="s">
        <v>896</v>
      </c>
      <c r="I20" s="143" t="s">
        <v>897</v>
      </c>
      <c r="J20" s="144" t="s">
        <v>898</v>
      </c>
    </row>
    <row r="21" spans="1:10" ht="284.25" thickBot="1" x14ac:dyDescent="0.3">
      <c r="A21" s="175"/>
      <c r="B21" s="98" t="s">
        <v>899</v>
      </c>
      <c r="C21" s="135">
        <v>1</v>
      </c>
      <c r="D21" s="129">
        <v>116</v>
      </c>
      <c r="E21" s="130"/>
      <c r="F21" s="131" t="s">
        <v>900</v>
      </c>
      <c r="G21" s="132" t="s">
        <v>282</v>
      </c>
      <c r="H21" s="132"/>
      <c r="I21" s="143" t="s">
        <v>901</v>
      </c>
      <c r="J21" s="144" t="s">
        <v>902</v>
      </c>
    </row>
    <row r="22" spans="1:10" ht="284.25" thickBot="1" x14ac:dyDescent="0.3">
      <c r="A22" s="175"/>
      <c r="B22" s="98" t="s">
        <v>903</v>
      </c>
      <c r="C22" s="135">
        <v>1</v>
      </c>
      <c r="D22" s="129">
        <v>1021</v>
      </c>
      <c r="E22" s="130"/>
      <c r="F22" s="131" t="s">
        <v>904</v>
      </c>
      <c r="G22" s="132" t="s">
        <v>282</v>
      </c>
      <c r="H22" s="132"/>
      <c r="I22" s="143" t="s">
        <v>905</v>
      </c>
      <c r="J22" s="144" t="s">
        <v>906</v>
      </c>
    </row>
    <row r="23" spans="1:10" ht="347.25" thickBot="1" x14ac:dyDescent="0.3">
      <c r="A23" s="175" t="s">
        <v>907</v>
      </c>
      <c r="B23" s="98" t="s">
        <v>908</v>
      </c>
      <c r="C23" s="135">
        <v>1</v>
      </c>
      <c r="D23" s="129">
        <v>749</v>
      </c>
      <c r="E23" s="130"/>
      <c r="F23" s="131" t="s">
        <v>909</v>
      </c>
      <c r="G23" s="132" t="s">
        <v>282</v>
      </c>
      <c r="H23" s="132"/>
      <c r="I23" s="143" t="s">
        <v>910</v>
      </c>
      <c r="J23" s="144" t="s">
        <v>911</v>
      </c>
    </row>
    <row r="24" spans="1:10" ht="300" thickBot="1" x14ac:dyDescent="0.3">
      <c r="A24" s="175"/>
      <c r="B24" s="98" t="s">
        <v>912</v>
      </c>
      <c r="C24" s="135">
        <v>1</v>
      </c>
      <c r="D24" s="129">
        <v>346</v>
      </c>
      <c r="E24" s="130"/>
      <c r="F24" s="131" t="s">
        <v>913</v>
      </c>
      <c r="G24" s="132" t="s">
        <v>30</v>
      </c>
      <c r="H24" s="143" t="s">
        <v>914</v>
      </c>
      <c r="I24" s="143" t="s">
        <v>915</v>
      </c>
      <c r="J24" s="144" t="s">
        <v>916</v>
      </c>
    </row>
    <row r="25" spans="1:10" ht="363" thickBot="1" x14ac:dyDescent="0.3">
      <c r="A25" s="175"/>
      <c r="B25" s="98" t="s">
        <v>917</v>
      </c>
      <c r="C25" s="135">
        <v>1</v>
      </c>
      <c r="D25" s="129">
        <v>346</v>
      </c>
      <c r="E25" s="130"/>
      <c r="F25" s="131" t="s">
        <v>918</v>
      </c>
      <c r="G25" s="132" t="s">
        <v>30</v>
      </c>
      <c r="H25" s="143" t="s">
        <v>919</v>
      </c>
      <c r="I25" s="143" t="s">
        <v>920</v>
      </c>
      <c r="J25" s="144" t="s">
        <v>921</v>
      </c>
    </row>
    <row r="26" spans="1:10" ht="363" thickBot="1" x14ac:dyDescent="0.3">
      <c r="A26" s="175"/>
      <c r="B26" s="98" t="s">
        <v>922</v>
      </c>
      <c r="C26" s="136">
        <v>2</v>
      </c>
      <c r="D26" s="137">
        <v>306</v>
      </c>
      <c r="E26" s="138"/>
      <c r="F26" s="139" t="s">
        <v>923</v>
      </c>
      <c r="G26" s="140" t="s">
        <v>282</v>
      </c>
      <c r="H26" s="140"/>
      <c r="I26" s="145" t="s">
        <v>924</v>
      </c>
      <c r="J26" s="146" t="s">
        <v>925</v>
      </c>
    </row>
  </sheetData>
  <mergeCells count="5">
    <mergeCell ref="A2:A6"/>
    <mergeCell ref="A7:A12"/>
    <mergeCell ref="A13:A15"/>
    <mergeCell ref="A16:A22"/>
    <mergeCell ref="A23:A26"/>
  </mergeCells>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6"/>
  <sheetViews>
    <sheetView topLeftCell="A9" zoomScale="60" zoomScaleNormal="60" workbookViewId="0">
      <selection activeCell="S5" sqref="S5"/>
    </sheetView>
  </sheetViews>
  <sheetFormatPr defaultColWidth="8.85546875" defaultRowHeight="21" x14ac:dyDescent="0.35"/>
  <cols>
    <col min="1" max="1" width="24" style="64" customWidth="1"/>
    <col min="2" max="5" width="8.85546875" style="20"/>
    <col min="6" max="6" width="84.42578125" style="20" customWidth="1"/>
    <col min="7" max="7" width="17.5703125" style="20" customWidth="1"/>
    <col min="8" max="8" width="35.42578125" style="20" customWidth="1"/>
    <col min="9" max="9" width="24.140625" style="20" customWidth="1"/>
    <col min="10" max="10" width="37.85546875" style="20" customWidth="1"/>
    <col min="11" max="1024" width="8.85546875" style="20"/>
  </cols>
  <sheetData>
    <row r="1" spans="1:14" s="36" customFormat="1" ht="42.75" thickBot="1" x14ac:dyDescent="0.25">
      <c r="A1" s="75" t="s">
        <v>24</v>
      </c>
      <c r="B1" s="53" t="s">
        <v>25</v>
      </c>
      <c r="C1" s="53" t="s">
        <v>26</v>
      </c>
      <c r="D1" s="53" t="s">
        <v>27</v>
      </c>
      <c r="E1" s="53" t="s">
        <v>28</v>
      </c>
      <c r="F1" s="53" t="s">
        <v>29</v>
      </c>
      <c r="G1" s="53" t="s">
        <v>30</v>
      </c>
      <c r="H1" s="53" t="s">
        <v>31</v>
      </c>
      <c r="I1" s="53" t="s">
        <v>32</v>
      </c>
      <c r="J1" s="53" t="s">
        <v>33</v>
      </c>
      <c r="K1" s="147"/>
      <c r="L1" s="147"/>
      <c r="M1" s="147"/>
      <c r="N1" s="147"/>
    </row>
    <row r="2" spans="1:14" ht="48" customHeight="1" thickBot="1" x14ac:dyDescent="0.3">
      <c r="A2" s="174" t="s">
        <v>780</v>
      </c>
      <c r="B2" s="37" t="s">
        <v>781</v>
      </c>
      <c r="C2" s="38">
        <v>1</v>
      </c>
      <c r="D2" s="40">
        <v>116</v>
      </c>
      <c r="E2" s="40"/>
      <c r="F2" s="71" t="s">
        <v>782</v>
      </c>
      <c r="G2" s="43" t="s">
        <v>30</v>
      </c>
      <c r="H2" s="43" t="s">
        <v>944</v>
      </c>
      <c r="I2" s="149" t="s">
        <v>927</v>
      </c>
      <c r="J2" s="44" t="s">
        <v>926</v>
      </c>
    </row>
    <row r="3" spans="1:14" ht="16.5" thickBot="1" x14ac:dyDescent="0.3">
      <c r="A3" s="174"/>
      <c r="B3" s="37" t="s">
        <v>783</v>
      </c>
      <c r="C3" s="45">
        <v>1</v>
      </c>
      <c r="D3" s="21">
        <v>419</v>
      </c>
      <c r="E3" s="21"/>
      <c r="F3" s="72" t="s">
        <v>784</v>
      </c>
      <c r="G3" s="24" t="s">
        <v>60</v>
      </c>
      <c r="H3" s="24"/>
      <c r="I3" s="24"/>
      <c r="J3" s="25"/>
    </row>
    <row r="4" spans="1:14" ht="252" x14ac:dyDescent="0.25">
      <c r="A4" s="174"/>
      <c r="B4" s="37" t="s">
        <v>785</v>
      </c>
      <c r="C4" s="45">
        <v>1</v>
      </c>
      <c r="D4" s="21">
        <v>598</v>
      </c>
      <c r="E4" s="21"/>
      <c r="F4" s="72" t="s">
        <v>786</v>
      </c>
      <c r="G4" s="24" t="s">
        <v>30</v>
      </c>
      <c r="H4" s="24" t="s">
        <v>945</v>
      </c>
      <c r="I4" s="24" t="s">
        <v>928</v>
      </c>
      <c r="J4" s="25" t="s">
        <v>929</v>
      </c>
    </row>
    <row r="5" spans="1:14" ht="362.25" x14ac:dyDescent="0.25">
      <c r="A5" s="174"/>
      <c r="B5" s="37" t="s">
        <v>787</v>
      </c>
      <c r="C5" s="48">
        <v>2</v>
      </c>
      <c r="D5" s="21">
        <v>285</v>
      </c>
      <c r="E5" s="21"/>
      <c r="F5" s="148" t="s">
        <v>788</v>
      </c>
      <c r="G5" s="148" t="s">
        <v>30</v>
      </c>
      <c r="H5" s="148" t="s">
        <v>946</v>
      </c>
      <c r="I5" s="24" t="s">
        <v>930</v>
      </c>
      <c r="J5" s="25" t="s">
        <v>931</v>
      </c>
    </row>
    <row r="6" spans="1:14" ht="283.5" x14ac:dyDescent="0.25">
      <c r="A6" s="174"/>
      <c r="B6" s="37" t="s">
        <v>789</v>
      </c>
      <c r="C6" s="48">
        <v>2</v>
      </c>
      <c r="D6" s="21">
        <v>434</v>
      </c>
      <c r="E6" s="21"/>
      <c r="F6" s="72" t="s">
        <v>790</v>
      </c>
      <c r="G6" s="24" t="s">
        <v>282</v>
      </c>
      <c r="H6" s="24"/>
      <c r="I6" s="24" t="s">
        <v>932</v>
      </c>
      <c r="J6" s="25"/>
    </row>
    <row r="7" spans="1:14" ht="32.25" customHeight="1" x14ac:dyDescent="0.25">
      <c r="A7" s="174" t="s">
        <v>791</v>
      </c>
      <c r="B7" s="37" t="s">
        <v>792</v>
      </c>
      <c r="C7" s="45">
        <v>1</v>
      </c>
      <c r="D7" s="21">
        <v>650</v>
      </c>
      <c r="E7" s="21"/>
      <c r="F7" s="72" t="s">
        <v>793</v>
      </c>
      <c r="G7" s="24" t="s">
        <v>30</v>
      </c>
      <c r="H7" s="24"/>
      <c r="I7" s="24" t="s">
        <v>934</v>
      </c>
      <c r="J7" s="25" t="s">
        <v>933</v>
      </c>
    </row>
    <row r="8" spans="1:14" ht="283.5" x14ac:dyDescent="0.25">
      <c r="A8" s="174"/>
      <c r="B8" s="37" t="s">
        <v>794</v>
      </c>
      <c r="C8" s="45">
        <v>1</v>
      </c>
      <c r="D8" s="21">
        <v>20</v>
      </c>
      <c r="E8" s="21"/>
      <c r="F8" s="72" t="s">
        <v>795</v>
      </c>
      <c r="G8" s="24" t="s">
        <v>282</v>
      </c>
      <c r="H8" s="24"/>
      <c r="I8" s="24" t="s">
        <v>935</v>
      </c>
      <c r="J8" s="25"/>
    </row>
    <row r="9" spans="1:14" ht="267.75" x14ac:dyDescent="0.25">
      <c r="A9" s="174"/>
      <c r="B9" s="37" t="s">
        <v>796</v>
      </c>
      <c r="C9" s="45">
        <v>1</v>
      </c>
      <c r="D9" s="21">
        <v>352</v>
      </c>
      <c r="E9" s="21"/>
      <c r="F9" s="72" t="s">
        <v>797</v>
      </c>
      <c r="G9" s="24" t="s">
        <v>282</v>
      </c>
      <c r="H9" s="24"/>
      <c r="I9" s="24" t="s">
        <v>936</v>
      </c>
      <c r="J9" s="25"/>
    </row>
    <row r="10" spans="1:14" ht="15.75" x14ac:dyDescent="0.25">
      <c r="A10" s="174"/>
      <c r="B10" s="37" t="s">
        <v>798</v>
      </c>
      <c r="C10" s="48">
        <v>2</v>
      </c>
      <c r="D10" s="21">
        <v>770</v>
      </c>
      <c r="E10" s="21"/>
      <c r="F10" s="72" t="s">
        <v>799</v>
      </c>
      <c r="G10" s="24" t="s">
        <v>60</v>
      </c>
      <c r="H10" s="24"/>
      <c r="I10" s="24"/>
      <c r="J10" s="25"/>
    </row>
    <row r="11" spans="1:14" ht="220.5" x14ac:dyDescent="0.25">
      <c r="A11" s="174"/>
      <c r="B11" s="37" t="s">
        <v>800</v>
      </c>
      <c r="C11" s="48">
        <v>2</v>
      </c>
      <c r="D11" s="21">
        <v>436</v>
      </c>
      <c r="E11" s="21"/>
      <c r="F11" s="72" t="s">
        <v>801</v>
      </c>
      <c r="G11" s="24" t="s">
        <v>282</v>
      </c>
      <c r="H11" s="24"/>
      <c r="I11" s="24" t="s">
        <v>937</v>
      </c>
      <c r="J11" s="25"/>
    </row>
    <row r="12" spans="1:14" ht="236.25" x14ac:dyDescent="0.25">
      <c r="A12" s="174"/>
      <c r="B12" s="37" t="s">
        <v>802</v>
      </c>
      <c r="C12" s="48">
        <v>2</v>
      </c>
      <c r="D12" s="21">
        <v>345</v>
      </c>
      <c r="E12" s="21"/>
      <c r="F12" s="72" t="s">
        <v>803</v>
      </c>
      <c r="G12" s="24" t="s">
        <v>30</v>
      </c>
      <c r="H12" s="24" t="s">
        <v>947</v>
      </c>
      <c r="I12" s="24" t="s">
        <v>938</v>
      </c>
      <c r="J12" s="25" t="s">
        <v>939</v>
      </c>
    </row>
    <row r="13" spans="1:14" ht="48" customHeight="1" x14ac:dyDescent="0.25">
      <c r="A13" s="174" t="s">
        <v>804</v>
      </c>
      <c r="B13" s="37" t="s">
        <v>805</v>
      </c>
      <c r="C13" s="45">
        <v>1</v>
      </c>
      <c r="D13" s="21">
        <v>20</v>
      </c>
      <c r="E13" s="21"/>
      <c r="F13" s="72" t="s">
        <v>806</v>
      </c>
      <c r="G13" s="24" t="s">
        <v>282</v>
      </c>
      <c r="H13" s="24"/>
      <c r="I13" s="24" t="s">
        <v>940</v>
      </c>
      <c r="J13" s="25"/>
    </row>
    <row r="14" spans="1:14" ht="126" x14ac:dyDescent="0.25">
      <c r="A14" s="174"/>
      <c r="B14" s="37" t="s">
        <v>807</v>
      </c>
      <c r="C14" s="48">
        <v>2</v>
      </c>
      <c r="D14" s="21">
        <v>345</v>
      </c>
      <c r="E14" s="21"/>
      <c r="F14" s="72" t="s">
        <v>808</v>
      </c>
      <c r="G14" s="24" t="s">
        <v>60</v>
      </c>
      <c r="H14" s="24"/>
      <c r="I14" s="24" t="s">
        <v>941</v>
      </c>
      <c r="J14" s="25"/>
    </row>
    <row r="15" spans="1:14" ht="63.75" customHeight="1" x14ac:dyDescent="0.25">
      <c r="A15" s="174" t="s">
        <v>809</v>
      </c>
      <c r="B15" s="37" t="s">
        <v>810</v>
      </c>
      <c r="C15" s="48">
        <v>2</v>
      </c>
      <c r="D15" s="21">
        <v>770</v>
      </c>
      <c r="E15" s="21"/>
      <c r="F15" s="72" t="s">
        <v>811</v>
      </c>
      <c r="G15" s="24" t="s">
        <v>60</v>
      </c>
      <c r="H15" s="24"/>
      <c r="I15" s="24" t="s">
        <v>943</v>
      </c>
      <c r="J15" s="25"/>
    </row>
    <row r="16" spans="1:14" ht="141.75" x14ac:dyDescent="0.25">
      <c r="A16" s="174"/>
      <c r="B16" s="37" t="s">
        <v>812</v>
      </c>
      <c r="C16" s="49">
        <v>2</v>
      </c>
      <c r="D16" s="27">
        <v>285</v>
      </c>
      <c r="E16" s="27"/>
      <c r="F16" s="73" t="s">
        <v>813</v>
      </c>
      <c r="G16" s="79" t="s">
        <v>60</v>
      </c>
      <c r="H16" s="79"/>
      <c r="I16" s="79" t="s">
        <v>942</v>
      </c>
      <c r="J16" s="80"/>
    </row>
  </sheetData>
  <mergeCells count="4">
    <mergeCell ref="A2:A6"/>
    <mergeCell ref="A7:A12"/>
    <mergeCell ref="A13:A14"/>
    <mergeCell ref="A15:A16"/>
  </mergeCells>
  <dataValidations count="1">
    <dataValidation type="list" operator="equal" showErrorMessage="1" sqref="G2:G16" xr:uid="{00000000-0002-0000-0D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1"/>
  <sheetViews>
    <sheetView topLeftCell="A2" zoomScale="60" zoomScaleNormal="60" workbookViewId="0">
      <selection activeCell="AC6" sqref="AC6"/>
    </sheetView>
  </sheetViews>
  <sheetFormatPr defaultColWidth="8.85546875" defaultRowHeight="21" x14ac:dyDescent="0.35"/>
  <cols>
    <col min="1" max="1" width="31.28515625" style="64" customWidth="1"/>
    <col min="2" max="2" width="8.85546875" style="20"/>
    <col min="3" max="4" width="8.85546875" style="52"/>
    <col min="5" max="5" width="9.42578125" style="52" customWidth="1"/>
    <col min="6" max="6" width="106" style="20" customWidth="1"/>
    <col min="7" max="7" width="8.85546875" style="20"/>
    <col min="8" max="8" width="35.85546875" style="20" customWidth="1"/>
    <col min="9" max="9" width="26.140625" style="20" customWidth="1"/>
    <col min="10" max="10" width="28.7109375" style="20" customWidth="1"/>
    <col min="11" max="1024" width="8.85546875" style="20"/>
  </cols>
  <sheetData>
    <row r="1" spans="1:10" s="36" customFormat="1" ht="42" x14ac:dyDescent="0.2">
      <c r="A1" s="76" t="s">
        <v>24</v>
      </c>
      <c r="B1" s="53" t="s">
        <v>25</v>
      </c>
      <c r="C1" s="53" t="s">
        <v>26</v>
      </c>
      <c r="D1" s="53" t="s">
        <v>27</v>
      </c>
      <c r="E1" s="53" t="s">
        <v>28</v>
      </c>
      <c r="F1" s="53" t="s">
        <v>29</v>
      </c>
      <c r="G1" s="53" t="s">
        <v>30</v>
      </c>
      <c r="H1" s="53" t="s">
        <v>31</v>
      </c>
      <c r="I1" s="53" t="s">
        <v>32</v>
      </c>
      <c r="J1" s="53" t="s">
        <v>33</v>
      </c>
    </row>
    <row r="2" spans="1:10" ht="220.5" x14ac:dyDescent="0.25">
      <c r="A2" s="1" t="s">
        <v>704</v>
      </c>
      <c r="B2" s="37" t="s">
        <v>705</v>
      </c>
      <c r="C2" s="160">
        <v>3</v>
      </c>
      <c r="D2" s="40">
        <v>749</v>
      </c>
      <c r="E2" s="40"/>
      <c r="F2" s="71" t="s">
        <v>706</v>
      </c>
      <c r="G2" s="43" t="s">
        <v>282</v>
      </c>
      <c r="H2" s="43"/>
      <c r="I2" s="43" t="s">
        <v>948</v>
      </c>
      <c r="J2" s="44"/>
    </row>
    <row r="3" spans="1:10" ht="48" customHeight="1" x14ac:dyDescent="0.25">
      <c r="A3" s="174" t="s">
        <v>707</v>
      </c>
      <c r="B3" s="37" t="s">
        <v>708</v>
      </c>
      <c r="C3" s="48">
        <v>2</v>
      </c>
      <c r="D3" s="21">
        <v>359</v>
      </c>
      <c r="E3" s="21"/>
      <c r="F3" s="72" t="s">
        <v>709</v>
      </c>
      <c r="G3" s="24" t="s">
        <v>30</v>
      </c>
      <c r="H3" s="24" t="s">
        <v>950</v>
      </c>
      <c r="I3" s="24" t="s">
        <v>949</v>
      </c>
      <c r="J3" s="25" t="s">
        <v>952</v>
      </c>
    </row>
    <row r="4" spans="1:10" ht="173.25" x14ac:dyDescent="0.25">
      <c r="A4" s="174"/>
      <c r="B4" s="37" t="s">
        <v>710</v>
      </c>
      <c r="C4" s="48">
        <v>2</v>
      </c>
      <c r="D4" s="21">
        <v>272</v>
      </c>
      <c r="E4" s="21"/>
      <c r="F4" s="72" t="s">
        <v>711</v>
      </c>
      <c r="G4" s="24" t="s">
        <v>30</v>
      </c>
      <c r="H4" s="24" t="s">
        <v>954</v>
      </c>
      <c r="I4" s="24" t="s">
        <v>951</v>
      </c>
      <c r="J4" s="25" t="s">
        <v>953</v>
      </c>
    </row>
    <row r="5" spans="1:10" ht="189" x14ac:dyDescent="0.25">
      <c r="A5" s="174"/>
      <c r="B5" s="37" t="s">
        <v>712</v>
      </c>
      <c r="C5" s="47">
        <v>3</v>
      </c>
      <c r="D5" s="21">
        <v>507</v>
      </c>
      <c r="E5" s="21"/>
      <c r="F5" s="72" t="s">
        <v>713</v>
      </c>
      <c r="G5" s="24" t="s">
        <v>30</v>
      </c>
      <c r="H5" s="24" t="s">
        <v>958</v>
      </c>
      <c r="I5" s="24" t="s">
        <v>955</v>
      </c>
      <c r="J5" s="25" t="s">
        <v>957</v>
      </c>
    </row>
    <row r="6" spans="1:10" ht="141.75" x14ac:dyDescent="0.25">
      <c r="A6" s="174"/>
      <c r="B6" s="37" t="s">
        <v>714</v>
      </c>
      <c r="C6" s="47">
        <v>3</v>
      </c>
      <c r="D6" s="21">
        <v>511</v>
      </c>
      <c r="E6" s="21"/>
      <c r="F6" s="72" t="s">
        <v>715</v>
      </c>
      <c r="G6" s="24" t="s">
        <v>30</v>
      </c>
      <c r="H6" s="24" t="s">
        <v>960</v>
      </c>
      <c r="I6" s="24" t="s">
        <v>959</v>
      </c>
      <c r="J6" s="25" t="s">
        <v>956</v>
      </c>
    </row>
    <row r="7" spans="1:10" ht="204.75" x14ac:dyDescent="0.25">
      <c r="A7" s="174"/>
      <c r="B7" s="37" t="s">
        <v>716</v>
      </c>
      <c r="C7" s="47">
        <v>3</v>
      </c>
      <c r="D7" s="21">
        <v>511</v>
      </c>
      <c r="E7" s="21"/>
      <c r="F7" s="72" t="s">
        <v>717</v>
      </c>
      <c r="G7" s="24" t="s">
        <v>30</v>
      </c>
      <c r="H7" s="86" t="s">
        <v>963</v>
      </c>
      <c r="I7" s="24" t="s">
        <v>961</v>
      </c>
      <c r="J7" s="25" t="s">
        <v>962</v>
      </c>
    </row>
    <row r="8" spans="1:10" ht="157.5" x14ac:dyDescent="0.25">
      <c r="A8" s="174"/>
      <c r="B8" s="37" t="s">
        <v>718</v>
      </c>
      <c r="C8" s="47">
        <v>3</v>
      </c>
      <c r="D8" s="21">
        <v>507</v>
      </c>
      <c r="E8" s="21"/>
      <c r="F8" s="72" t="s">
        <v>719</v>
      </c>
      <c r="G8" s="24" t="s">
        <v>30</v>
      </c>
      <c r="H8" s="24" t="s">
        <v>966</v>
      </c>
      <c r="I8" s="24" t="s">
        <v>964</v>
      </c>
      <c r="J8" s="25" t="s">
        <v>965</v>
      </c>
    </row>
    <row r="9" spans="1:10" ht="48" customHeight="1" x14ac:dyDescent="0.25">
      <c r="A9" s="174" t="s">
        <v>720</v>
      </c>
      <c r="B9" s="37" t="s">
        <v>721</v>
      </c>
      <c r="C9" s="45">
        <v>1</v>
      </c>
      <c r="D9" s="21">
        <v>16</v>
      </c>
      <c r="E9" s="21"/>
      <c r="F9" s="72" t="s">
        <v>722</v>
      </c>
      <c r="G9" s="24" t="s">
        <v>60</v>
      </c>
      <c r="H9" s="24"/>
      <c r="I9" s="86" t="s">
        <v>967</v>
      </c>
      <c r="J9" s="25"/>
    </row>
    <row r="10" spans="1:10" ht="173.25" x14ac:dyDescent="0.25">
      <c r="A10" s="174"/>
      <c r="B10" s="37" t="s">
        <v>723</v>
      </c>
      <c r="C10" s="45">
        <v>1</v>
      </c>
      <c r="D10" s="21">
        <v>353</v>
      </c>
      <c r="E10" s="21"/>
      <c r="F10" s="72" t="s">
        <v>724</v>
      </c>
      <c r="G10" s="24" t="s">
        <v>30</v>
      </c>
      <c r="H10" s="24"/>
      <c r="I10" s="24" t="s">
        <v>969</v>
      </c>
      <c r="J10" s="25" t="s">
        <v>968</v>
      </c>
    </row>
    <row r="11" spans="1:10" ht="141.75" x14ac:dyDescent="0.25">
      <c r="A11" s="174"/>
      <c r="B11" s="37" t="s">
        <v>725</v>
      </c>
      <c r="C11" s="161">
        <v>1</v>
      </c>
      <c r="D11" s="27">
        <v>350</v>
      </c>
      <c r="E11" s="27"/>
      <c r="F11" s="73" t="s">
        <v>726</v>
      </c>
      <c r="G11" s="79" t="s">
        <v>60</v>
      </c>
      <c r="H11" s="79"/>
      <c r="I11" s="79" t="s">
        <v>970</v>
      </c>
      <c r="J11" s="80"/>
    </row>
  </sheetData>
  <mergeCells count="2">
    <mergeCell ref="A3:A8"/>
    <mergeCell ref="A9:A11"/>
  </mergeCells>
  <dataValidations count="1">
    <dataValidation type="list" operator="equal" showErrorMessage="1" sqref="G2:G11" xr:uid="{00000000-0002-0000-0A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9"/>
  <sheetViews>
    <sheetView zoomScale="57" zoomScaleNormal="95" workbookViewId="0">
      <selection activeCell="F5" sqref="F5"/>
    </sheetView>
  </sheetViews>
  <sheetFormatPr defaultColWidth="8.85546875" defaultRowHeight="21" x14ac:dyDescent="0.35"/>
  <cols>
    <col min="1" max="1" width="23.85546875" style="64" customWidth="1"/>
    <col min="2" max="2" width="8.85546875" style="20"/>
    <col min="3" max="5" width="8.85546875" style="52"/>
    <col min="6" max="6" width="71.28515625" style="20" customWidth="1"/>
    <col min="7" max="7" width="17.42578125" style="20" customWidth="1"/>
    <col min="8" max="8" width="34.7109375" style="20" customWidth="1"/>
    <col min="9" max="9" width="34.42578125" style="20" customWidth="1"/>
    <col min="10" max="10" width="37" style="20" customWidth="1"/>
    <col min="11" max="1024" width="8.85546875" style="20"/>
  </cols>
  <sheetData>
    <row r="1" spans="1:10" s="36" customFormat="1" ht="42" x14ac:dyDescent="0.2">
      <c r="A1" s="75" t="s">
        <v>24</v>
      </c>
      <c r="B1" s="53" t="s">
        <v>25</v>
      </c>
      <c r="C1" s="53" t="s">
        <v>26</v>
      </c>
      <c r="D1" s="53" t="s">
        <v>27</v>
      </c>
      <c r="E1" s="53" t="s">
        <v>28</v>
      </c>
      <c r="F1" s="53" t="s">
        <v>29</v>
      </c>
      <c r="G1" s="53" t="s">
        <v>30</v>
      </c>
      <c r="H1" s="53" t="s">
        <v>31</v>
      </c>
      <c r="I1" s="53" t="s">
        <v>32</v>
      </c>
      <c r="J1" s="53" t="s">
        <v>33</v>
      </c>
    </row>
    <row r="2" spans="1:10" ht="32.25" customHeight="1" x14ac:dyDescent="0.25">
      <c r="A2" s="174" t="s">
        <v>727</v>
      </c>
      <c r="B2" s="37" t="s">
        <v>728</v>
      </c>
      <c r="C2" s="38">
        <v>1</v>
      </c>
      <c r="D2" s="40">
        <v>841</v>
      </c>
      <c r="E2" s="40"/>
      <c r="F2" s="71" t="s">
        <v>729</v>
      </c>
      <c r="G2" s="43" t="s">
        <v>282</v>
      </c>
      <c r="H2" s="43"/>
      <c r="I2" s="43" t="s">
        <v>971</v>
      </c>
      <c r="J2" s="44"/>
    </row>
    <row r="3" spans="1:10" ht="157.5" x14ac:dyDescent="0.25">
      <c r="A3" s="174"/>
      <c r="B3" s="37" t="s">
        <v>730</v>
      </c>
      <c r="C3" s="45">
        <v>1</v>
      </c>
      <c r="D3" s="21">
        <v>799</v>
      </c>
      <c r="E3" s="21"/>
      <c r="F3" s="72" t="s">
        <v>731</v>
      </c>
      <c r="G3" s="24" t="s">
        <v>282</v>
      </c>
      <c r="H3" s="24"/>
      <c r="I3" s="24" t="s">
        <v>972</v>
      </c>
      <c r="J3" s="25"/>
    </row>
    <row r="4" spans="1:10" ht="157.5" x14ac:dyDescent="0.25">
      <c r="A4" s="174"/>
      <c r="B4" s="37" t="s">
        <v>732</v>
      </c>
      <c r="C4" s="45">
        <v>1</v>
      </c>
      <c r="D4" s="21">
        <v>770</v>
      </c>
      <c r="E4" s="21"/>
      <c r="F4" s="72" t="s">
        <v>733</v>
      </c>
      <c r="G4" s="24" t="s">
        <v>282</v>
      </c>
      <c r="H4" s="24"/>
      <c r="I4" s="24" t="s">
        <v>973</v>
      </c>
      <c r="J4" s="25"/>
    </row>
    <row r="5" spans="1:10" ht="141.75" x14ac:dyDescent="0.25">
      <c r="A5" s="174"/>
      <c r="B5" s="37" t="s">
        <v>734</v>
      </c>
      <c r="C5" s="45">
        <v>1</v>
      </c>
      <c r="D5" s="21">
        <v>770</v>
      </c>
      <c r="E5" s="21"/>
      <c r="F5" s="72" t="s">
        <v>735</v>
      </c>
      <c r="G5" s="24" t="s">
        <v>282</v>
      </c>
      <c r="H5" s="24"/>
      <c r="I5" s="24" t="s">
        <v>975</v>
      </c>
      <c r="J5" s="25"/>
    </row>
    <row r="6" spans="1:10" ht="173.25" x14ac:dyDescent="0.25">
      <c r="A6" s="174"/>
      <c r="B6" s="37" t="s">
        <v>736</v>
      </c>
      <c r="C6" s="45">
        <v>1</v>
      </c>
      <c r="D6" s="21">
        <v>841</v>
      </c>
      <c r="E6" s="21"/>
      <c r="F6" s="72" t="s">
        <v>737</v>
      </c>
      <c r="G6" s="163" t="s">
        <v>30</v>
      </c>
      <c r="H6" s="24" t="s">
        <v>1305</v>
      </c>
      <c r="I6" s="24" t="s">
        <v>974</v>
      </c>
      <c r="J6" s="25"/>
    </row>
    <row r="7" spans="1:10" ht="36" customHeight="1" x14ac:dyDescent="0.25">
      <c r="A7" s="174"/>
      <c r="B7" s="37" t="s">
        <v>738</v>
      </c>
      <c r="C7" s="48">
        <v>2</v>
      </c>
      <c r="D7" s="21">
        <v>367</v>
      </c>
      <c r="E7" s="21"/>
      <c r="F7" s="72" t="s">
        <v>739</v>
      </c>
      <c r="G7" s="24" t="s">
        <v>282</v>
      </c>
      <c r="H7" s="24"/>
      <c r="I7" s="24" t="s">
        <v>976</v>
      </c>
      <c r="J7" s="25"/>
    </row>
    <row r="8" spans="1:10" ht="66.75" customHeight="1" x14ac:dyDescent="0.25">
      <c r="A8" s="174"/>
      <c r="B8" s="37" t="s">
        <v>740</v>
      </c>
      <c r="C8" s="48">
        <v>2</v>
      </c>
      <c r="D8" s="21">
        <v>754</v>
      </c>
      <c r="E8" s="21"/>
      <c r="F8" s="72" t="s">
        <v>741</v>
      </c>
      <c r="G8" s="163" t="s">
        <v>30</v>
      </c>
      <c r="H8" s="24" t="s">
        <v>1303</v>
      </c>
      <c r="I8" s="24" t="s">
        <v>977</v>
      </c>
      <c r="J8" s="25"/>
    </row>
    <row r="9" spans="1:10" ht="110.25" x14ac:dyDescent="0.25">
      <c r="A9" s="174"/>
      <c r="B9" s="37" t="s">
        <v>742</v>
      </c>
      <c r="C9" s="49">
        <v>2</v>
      </c>
      <c r="D9" s="27">
        <v>390</v>
      </c>
      <c r="E9" s="27"/>
      <c r="F9" s="73" t="s">
        <v>743</v>
      </c>
      <c r="G9" s="79" t="s">
        <v>282</v>
      </c>
      <c r="H9" s="79"/>
      <c r="I9" s="79" t="s">
        <v>978</v>
      </c>
      <c r="J9" s="80"/>
    </row>
  </sheetData>
  <mergeCells count="1">
    <mergeCell ref="A2:A9"/>
  </mergeCells>
  <dataValidations count="1">
    <dataValidation type="list" operator="equal" showErrorMessage="1" sqref="G2:G9" xr:uid="{00000000-0002-0000-0B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6"/>
  <sheetViews>
    <sheetView tabSelected="1" topLeftCell="A10" zoomScale="69" zoomScaleNormal="95" workbookViewId="0">
      <selection activeCell="AE9" sqref="AE9"/>
    </sheetView>
  </sheetViews>
  <sheetFormatPr defaultColWidth="8.85546875" defaultRowHeight="21" x14ac:dyDescent="0.35"/>
  <cols>
    <col min="1" max="1" width="33.5703125" style="64" customWidth="1"/>
    <col min="2" max="2" width="13.28515625" style="20" customWidth="1"/>
    <col min="3" max="5" width="8.85546875" style="52"/>
    <col min="6" max="6" width="78.7109375" style="20" customWidth="1"/>
    <col min="7" max="7" width="18.85546875" style="20" customWidth="1"/>
    <col min="8" max="8" width="31.42578125" style="20" customWidth="1"/>
    <col min="9" max="9" width="26.85546875" style="20" customWidth="1"/>
    <col min="10" max="10" width="31.85546875" style="20" customWidth="1"/>
    <col min="11" max="1024" width="8.85546875" style="20"/>
  </cols>
  <sheetData>
    <row r="1" spans="1:10" s="36" customFormat="1" ht="42" x14ac:dyDescent="0.2">
      <c r="A1" s="75" t="s">
        <v>24</v>
      </c>
      <c r="B1" s="53" t="s">
        <v>25</v>
      </c>
      <c r="C1" s="53" t="s">
        <v>26</v>
      </c>
      <c r="D1" s="53" t="s">
        <v>27</v>
      </c>
      <c r="E1" s="53" t="s">
        <v>28</v>
      </c>
      <c r="F1" s="53" t="s">
        <v>29</v>
      </c>
      <c r="G1" s="53" t="s">
        <v>30</v>
      </c>
      <c r="H1" s="53" t="s">
        <v>31</v>
      </c>
      <c r="I1" s="53" t="s">
        <v>32</v>
      </c>
      <c r="J1" s="53" t="s">
        <v>33</v>
      </c>
    </row>
    <row r="2" spans="1:10" ht="32.25" customHeight="1" x14ac:dyDescent="0.25">
      <c r="A2" s="174" t="s">
        <v>744</v>
      </c>
      <c r="B2" s="37" t="s">
        <v>745</v>
      </c>
      <c r="C2" s="38">
        <v>1</v>
      </c>
      <c r="D2" s="40">
        <v>400</v>
      </c>
      <c r="E2" s="40"/>
      <c r="F2" s="71" t="s">
        <v>746</v>
      </c>
      <c r="G2" s="43" t="s">
        <v>282</v>
      </c>
      <c r="H2" s="43"/>
      <c r="I2" s="43" t="s">
        <v>979</v>
      </c>
      <c r="J2" s="44"/>
    </row>
    <row r="3" spans="1:10" ht="157.5" x14ac:dyDescent="0.25">
      <c r="A3" s="174"/>
      <c r="B3" s="37" t="s">
        <v>747</v>
      </c>
      <c r="C3" s="48">
        <v>2</v>
      </c>
      <c r="D3" s="21">
        <v>409</v>
      </c>
      <c r="E3" s="21"/>
      <c r="F3" s="72" t="s">
        <v>748</v>
      </c>
      <c r="G3" s="24" t="s">
        <v>60</v>
      </c>
      <c r="H3" s="24"/>
      <c r="I3" s="24" t="s">
        <v>980</v>
      </c>
      <c r="J3" s="25"/>
    </row>
    <row r="4" spans="1:10" ht="141.75" x14ac:dyDescent="0.25">
      <c r="A4" s="174"/>
      <c r="B4" s="37" t="s">
        <v>749</v>
      </c>
      <c r="C4" s="48">
        <v>2</v>
      </c>
      <c r="D4" s="21">
        <v>770</v>
      </c>
      <c r="E4" s="21"/>
      <c r="F4" s="72" t="s">
        <v>750</v>
      </c>
      <c r="G4" s="24" t="s">
        <v>282</v>
      </c>
      <c r="H4" s="24"/>
      <c r="I4" s="24" t="s">
        <v>981</v>
      </c>
      <c r="J4" s="25"/>
    </row>
    <row r="5" spans="1:10" ht="141.75" x14ac:dyDescent="0.25">
      <c r="A5" s="1" t="s">
        <v>751</v>
      </c>
      <c r="B5" s="37" t="s">
        <v>752</v>
      </c>
      <c r="C5" s="48">
        <v>2</v>
      </c>
      <c r="D5" s="21">
        <v>434</v>
      </c>
      <c r="E5" s="21"/>
      <c r="F5" s="72" t="s">
        <v>753</v>
      </c>
      <c r="G5" s="24" t="s">
        <v>30</v>
      </c>
      <c r="H5" s="24" t="s">
        <v>984</v>
      </c>
      <c r="I5" s="24" t="s">
        <v>982</v>
      </c>
      <c r="J5" s="25" t="s">
        <v>983</v>
      </c>
    </row>
    <row r="6" spans="1:10" ht="48" customHeight="1" x14ac:dyDescent="0.25">
      <c r="A6" s="174" t="s">
        <v>754</v>
      </c>
      <c r="B6" s="37" t="s">
        <v>755</v>
      </c>
      <c r="C6" s="45">
        <v>1</v>
      </c>
      <c r="D6" s="21">
        <v>22</v>
      </c>
      <c r="E6" s="21"/>
      <c r="F6" s="72" t="s">
        <v>756</v>
      </c>
      <c r="G6" s="24" t="s">
        <v>282</v>
      </c>
      <c r="H6" s="24"/>
      <c r="I6" s="24" t="s">
        <v>985</v>
      </c>
      <c r="J6" s="25"/>
    </row>
    <row r="7" spans="1:10" ht="173.25" x14ac:dyDescent="0.25">
      <c r="A7" s="174"/>
      <c r="B7" s="37" t="s">
        <v>757</v>
      </c>
      <c r="C7" s="45">
        <v>1</v>
      </c>
      <c r="D7" s="21">
        <v>73</v>
      </c>
      <c r="E7" s="21"/>
      <c r="F7" s="72" t="s">
        <v>758</v>
      </c>
      <c r="G7" s="24" t="s">
        <v>282</v>
      </c>
      <c r="H7" s="24"/>
      <c r="I7" s="24" t="s">
        <v>986</v>
      </c>
      <c r="J7" s="25"/>
    </row>
    <row r="8" spans="1:10" ht="110.25" x14ac:dyDescent="0.25">
      <c r="A8" s="174"/>
      <c r="B8" s="37" t="s">
        <v>759</v>
      </c>
      <c r="C8" s="45">
        <v>1</v>
      </c>
      <c r="D8" s="21">
        <v>98</v>
      </c>
      <c r="E8" s="21"/>
      <c r="F8" s="72" t="s">
        <v>760</v>
      </c>
      <c r="G8" s="24" t="s">
        <v>60</v>
      </c>
      <c r="H8" s="24"/>
      <c r="I8" s="24" t="s">
        <v>987</v>
      </c>
      <c r="J8" s="25"/>
    </row>
    <row r="9" spans="1:10" ht="409.5" x14ac:dyDescent="0.25">
      <c r="A9" s="174"/>
      <c r="B9" s="37" t="s">
        <v>761</v>
      </c>
      <c r="C9" s="45">
        <v>1</v>
      </c>
      <c r="D9" s="21">
        <v>641</v>
      </c>
      <c r="E9" s="21"/>
      <c r="F9" s="72" t="s">
        <v>762</v>
      </c>
      <c r="G9" s="24" t="s">
        <v>282</v>
      </c>
      <c r="H9" s="24" t="s">
        <v>989</v>
      </c>
      <c r="I9" s="24" t="s">
        <v>988</v>
      </c>
      <c r="J9" s="25"/>
    </row>
    <row r="10" spans="1:10" ht="141.75" x14ac:dyDescent="0.25">
      <c r="A10" s="174"/>
      <c r="B10" s="37" t="s">
        <v>763</v>
      </c>
      <c r="C10" s="45">
        <v>1</v>
      </c>
      <c r="D10" s="21">
        <v>78</v>
      </c>
      <c r="E10" s="21"/>
      <c r="F10" s="72" t="s">
        <v>764</v>
      </c>
      <c r="G10" s="24" t="s">
        <v>30</v>
      </c>
      <c r="H10" s="24" t="s">
        <v>992</v>
      </c>
      <c r="I10" s="24" t="s">
        <v>990</v>
      </c>
      <c r="J10" s="25" t="s">
        <v>991</v>
      </c>
    </row>
    <row r="11" spans="1:10" ht="141.75" x14ac:dyDescent="0.25">
      <c r="A11" s="174"/>
      <c r="B11" s="37" t="s">
        <v>765</v>
      </c>
      <c r="C11" s="48">
        <v>2</v>
      </c>
      <c r="D11" s="21">
        <v>829</v>
      </c>
      <c r="E11" s="21"/>
      <c r="F11" s="72" t="s">
        <v>766</v>
      </c>
      <c r="G11" s="24" t="s">
        <v>30</v>
      </c>
      <c r="H11" s="24"/>
      <c r="I11" s="24" t="s">
        <v>993</v>
      </c>
      <c r="J11" s="25" t="s">
        <v>994</v>
      </c>
    </row>
    <row r="12" spans="1:10" ht="32.25" customHeight="1" x14ac:dyDescent="0.25">
      <c r="A12" s="174" t="s">
        <v>767</v>
      </c>
      <c r="B12" s="37" t="s">
        <v>768</v>
      </c>
      <c r="C12" s="45">
        <v>1</v>
      </c>
      <c r="D12" s="21">
        <v>922</v>
      </c>
      <c r="E12" s="21"/>
      <c r="F12" s="72" t="s">
        <v>769</v>
      </c>
      <c r="G12" s="24" t="s">
        <v>30</v>
      </c>
      <c r="H12" s="24" t="s">
        <v>997</v>
      </c>
      <c r="I12" s="24" t="s">
        <v>995</v>
      </c>
      <c r="J12" s="25" t="s">
        <v>996</v>
      </c>
    </row>
    <row r="13" spans="1:10" ht="141.75" x14ac:dyDescent="0.25">
      <c r="A13" s="174"/>
      <c r="B13" s="37" t="s">
        <v>770</v>
      </c>
      <c r="C13" s="45">
        <v>1</v>
      </c>
      <c r="D13" s="21">
        <v>509</v>
      </c>
      <c r="E13" s="21"/>
      <c r="F13" s="72" t="s">
        <v>771</v>
      </c>
      <c r="G13" s="24" t="s">
        <v>282</v>
      </c>
      <c r="H13" s="24"/>
      <c r="I13" s="24" t="s">
        <v>998</v>
      </c>
      <c r="J13" s="25"/>
    </row>
    <row r="14" spans="1:10" ht="79.5" customHeight="1" x14ac:dyDescent="0.25">
      <c r="A14" s="174" t="s">
        <v>772</v>
      </c>
      <c r="B14" s="37" t="s">
        <v>773</v>
      </c>
      <c r="C14" s="45">
        <v>1</v>
      </c>
      <c r="D14" s="21">
        <v>552</v>
      </c>
      <c r="E14" s="21"/>
      <c r="F14" s="72" t="s">
        <v>774</v>
      </c>
      <c r="G14" s="24" t="s">
        <v>282</v>
      </c>
      <c r="H14" s="24"/>
      <c r="I14" s="24" t="s">
        <v>999</v>
      </c>
      <c r="J14" s="25"/>
    </row>
    <row r="15" spans="1:10" ht="173.25" x14ac:dyDescent="0.25">
      <c r="A15" s="174"/>
      <c r="B15" s="37" t="s">
        <v>775</v>
      </c>
      <c r="C15" s="45">
        <v>1</v>
      </c>
      <c r="D15" s="21">
        <v>434</v>
      </c>
      <c r="E15" s="21"/>
      <c r="F15" s="72" t="s">
        <v>776</v>
      </c>
      <c r="G15" s="24" t="s">
        <v>30</v>
      </c>
      <c r="H15" s="24" t="s">
        <v>1001</v>
      </c>
      <c r="I15" s="24" t="s">
        <v>1000</v>
      </c>
      <c r="J15" s="150"/>
    </row>
    <row r="16" spans="1:10" ht="157.5" x14ac:dyDescent="0.25">
      <c r="A16" s="1" t="s">
        <v>777</v>
      </c>
      <c r="B16" s="37" t="s">
        <v>778</v>
      </c>
      <c r="C16" s="161">
        <v>1</v>
      </c>
      <c r="D16" s="27">
        <v>918</v>
      </c>
      <c r="E16" s="27"/>
      <c r="F16" s="73" t="s">
        <v>779</v>
      </c>
      <c r="G16" s="79" t="s">
        <v>60</v>
      </c>
      <c r="H16" s="79"/>
      <c r="I16" s="79" t="s">
        <v>1002</v>
      </c>
      <c r="J16" s="80"/>
    </row>
  </sheetData>
  <mergeCells count="4">
    <mergeCell ref="A2:A4"/>
    <mergeCell ref="A6:A11"/>
    <mergeCell ref="A12:A13"/>
    <mergeCell ref="A14:A15"/>
  </mergeCells>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ASVS Results</vt:lpstr>
      <vt:lpstr>Architecture, Design and Threat</vt:lpstr>
      <vt:lpstr>Authentication</vt:lpstr>
      <vt:lpstr>Session Management</vt:lpstr>
      <vt:lpstr>Access Control</vt:lpstr>
      <vt:lpstr>Validation, Sanitization and En</vt:lpstr>
      <vt:lpstr>Stored Cryptography</vt:lpstr>
      <vt:lpstr>Error Handling and Logging</vt:lpstr>
      <vt:lpstr>Communication</vt:lpstr>
      <vt:lpstr>Data Protection</vt:lpstr>
      <vt:lpstr>Configuration</vt:lpstr>
      <vt:lpstr>API and Web Service</vt:lpstr>
      <vt:lpstr>Malicious Code</vt:lpstr>
      <vt:lpstr>Business Logic</vt:lpstr>
      <vt:lpstr>Files and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Diana</dc:creator>
  <cp:keywords>OWASP ASVS Cheatsheet Spreadsheet</cp:keywords>
  <dc:description>Spreadsheet to help performing Code Review with the ASVS method and critieria</dc:description>
  <cp:lastModifiedBy>Pedro César Simões Vilarinho</cp:lastModifiedBy>
  <cp:revision>47</cp:revision>
  <dcterms:created xsi:type="dcterms:W3CDTF">2014-11-04T11:54:57Z</dcterms:created>
  <dcterms:modified xsi:type="dcterms:W3CDTF">2025-05-28T19:00:37Z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Author">
    <vt:lpwstr>Batard Florent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